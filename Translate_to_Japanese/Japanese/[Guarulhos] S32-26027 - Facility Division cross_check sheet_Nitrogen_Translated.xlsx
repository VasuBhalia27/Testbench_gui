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0730" windowHeight="11040" tabRatio="600" firstSheet="0" activeTab="0" autoFilterDateGrouping="1"/>
  </bookViews>
  <sheets>
    <sheet xmlns:r="http://schemas.openxmlformats.org/officeDocument/2006/relationships" name="Request (EN)" sheetId="1" state="visible" r:id="rId1"/>
    <sheet xmlns:r="http://schemas.openxmlformats.org/officeDocument/2006/relationships" name="Request" sheetId="2" state="visible" r:id="rId2"/>
    <sheet xmlns:r="http://schemas.openxmlformats.org/officeDocument/2006/relationships" name="Sample" sheetId="3" state="visible" r:id="rId3"/>
    <sheet xmlns:r="http://schemas.openxmlformats.org/officeDocument/2006/relationships" name="区分" sheetId="4" state="visible" r:id="rId4"/>
  </sheets>
  <definedNames>
    <definedName name="_xlnm.Print_Area" localSheetId="0">'Request (EN)'!$B$2:$I$26</definedName>
    <definedName name="_xlnm.Print_Area" localSheetId="1">'Request'!$B$2:$I$26</definedName>
    <definedName name="_xlnm.Print_Area" localSheetId="2">'Sample'!$B$2:$I$26</definedName>
  </definedNames>
  <calcPr calcId="191029" fullCalcOnLoad="1"/>
</workbook>
</file>

<file path=xl/styles.xml><?xml version="1.0" encoding="utf-8"?>
<styleSheet xmlns="http://schemas.openxmlformats.org/spreadsheetml/2006/main">
  <numFmts count="3">
    <numFmt numFmtId="164" formatCode="#,##0_ ;[Red]\-#,##0\ "/>
    <numFmt numFmtId="165" formatCode="0_ ;[Red]\-0\ "/>
    <numFmt numFmtId="166" formatCode="0&quot;年&quot;"/>
  </numFmts>
  <fonts count="27">
    <font>
      <name val="Calibri"/>
      <charset val="128"/>
      <family val="2"/>
      <color theme="1"/>
      <sz val="11"/>
      <scheme val="minor"/>
    </font>
    <font>
      <name val="Meiryo UI"/>
      <charset val="128"/>
      <family val="2"/>
      <color theme="1"/>
      <sz val="11"/>
    </font>
    <font>
      <name val="Meiryo UI"/>
      <charset val="128"/>
      <family val="2"/>
      <color theme="1"/>
      <sz val="11"/>
    </font>
    <font>
      <name val="Meiryo UI"/>
      <charset val="128"/>
      <family val="3"/>
      <color theme="1"/>
      <sz val="11"/>
    </font>
    <font>
      <name val="Calibri"/>
      <charset val="128"/>
      <family val="2"/>
      <sz val="6"/>
      <scheme val="minor"/>
    </font>
    <font>
      <name val="Meiryo UI"/>
      <charset val="128"/>
      <family val="3"/>
      <b val="1"/>
      <color theme="1"/>
      <sz val="22"/>
    </font>
    <font>
      <name val="Meiryo UI"/>
      <charset val="128"/>
      <family val="3"/>
      <b val="1"/>
      <color theme="1"/>
      <sz val="11"/>
    </font>
    <font>
      <name val="Meiryo UI"/>
      <charset val="128"/>
      <family val="3"/>
      <b val="1"/>
      <color theme="1"/>
      <sz val="14"/>
    </font>
    <font>
      <name val="Meiryo UI"/>
      <charset val="128"/>
      <family val="3"/>
      <sz val="11"/>
    </font>
    <font>
      <name val="Meiryo UI"/>
      <charset val="128"/>
      <family val="3"/>
      <b val="1"/>
      <sz val="11"/>
    </font>
    <font>
      <name val="Meiryo UI"/>
      <charset val="128"/>
      <family val="3"/>
      <color theme="1"/>
      <sz val="14"/>
    </font>
    <font>
      <name val="Calibri"/>
      <charset val="128"/>
      <family val="2"/>
      <color theme="1"/>
      <sz val="11"/>
      <scheme val="minor"/>
    </font>
    <font>
      <name val="Meiryo UI"/>
      <charset val="128"/>
      <family val="3"/>
      <sz val="10"/>
    </font>
    <font>
      <name val="Meiryo UI"/>
      <charset val="128"/>
      <family val="3"/>
      <color theme="1"/>
      <sz val="10"/>
    </font>
    <font>
      <name val="Meiryo UI"/>
      <charset val="128"/>
      <family val="3"/>
      <b val="1"/>
      <sz val="16"/>
    </font>
    <font>
      <name val="Meiryo UI"/>
      <charset val="128"/>
      <family val="3"/>
      <sz val="12"/>
    </font>
    <font>
      <name val="Meiryo UI"/>
      <charset val="128"/>
      <family val="3"/>
      <b val="1"/>
      <color theme="1"/>
      <sz val="12"/>
    </font>
    <font>
      <name val="Meiryo UI"/>
      <charset val="128"/>
      <family val="3"/>
      <b val="1"/>
      <color theme="1"/>
      <sz val="20"/>
    </font>
    <font>
      <name val="Meiryo UI"/>
      <charset val="128"/>
      <family val="3"/>
      <sz val="14"/>
    </font>
    <font>
      <name val="Meiryo UI"/>
      <charset val="128"/>
      <family val="3"/>
      <sz val="16"/>
    </font>
    <font>
      <name val="Meiryo UI"/>
      <charset val="128"/>
      <family val="3"/>
      <b val="1"/>
      <sz val="14"/>
    </font>
    <font>
      <name val="Meiryo UI"/>
      <charset val="128"/>
      <family val="2"/>
      <sz val="11"/>
    </font>
    <font>
      <name val="Meiryo UI"/>
      <charset val="128"/>
      <family val="3"/>
      <color rgb="FFFF0000"/>
      <sz val="11"/>
    </font>
    <font>
      <name val="Meiryo UI"/>
      <charset val="128"/>
      <family val="3"/>
      <b val="1"/>
      <sz val="10"/>
    </font>
    <font>
      <name val="Meiryo UI"/>
      <charset val="128"/>
      <family val="3"/>
      <b val="1"/>
      <sz val="12"/>
    </font>
    <font>
      <name val="Meiryo UI"/>
      <charset val="128"/>
      <family val="3"/>
      <b val="1"/>
      <sz val="9"/>
    </font>
    <font>
      <name val="Calibri"/>
      <charset val="128"/>
      <family val="2"/>
      <sz val="11"/>
      <scheme val="minor"/>
    </font>
  </fonts>
  <fills count="6">
    <fill>
      <patternFill/>
    </fill>
    <fill>
      <patternFill patternType="gray125"/>
    </fill>
    <fill>
      <patternFill patternType="solid">
        <fgColor theme="0"/>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9" tint="0.7999816888943144"/>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thin">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right style="medium">
        <color indexed="64"/>
      </right>
      <top style="medium">
        <color indexed="64"/>
      </top>
      <bottom/>
      <diagonal/>
    </border>
    <border>
      <left style="medium">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hair">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hair">
        <color indexed="64"/>
      </left>
      <right/>
      <top style="thin">
        <color indexed="64"/>
      </top>
      <bottom style="medium">
        <color indexed="64"/>
      </bottom>
      <diagonal/>
    </border>
    <border>
      <left style="thin">
        <color indexed="64"/>
      </left>
      <right style="hair">
        <color indexed="64"/>
      </right>
      <top/>
      <bottom style="medium">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dotted">
        <color indexed="64"/>
      </top>
      <bottom/>
      <diagonal/>
    </border>
    <border>
      <left style="thin">
        <color indexed="64"/>
      </left>
      <right style="medium">
        <color indexed="64"/>
      </right>
      <top style="dotted">
        <color indexed="64"/>
      </top>
      <bottom style="thin">
        <color indexed="64"/>
      </bottom>
      <diagonal/>
    </border>
    <border>
      <left style="thin">
        <color indexed="64"/>
      </left>
      <right style="medium">
        <color indexed="64"/>
      </right>
      <top style="hair">
        <color indexed="64"/>
      </top>
      <bottom style="medium">
        <color indexed="64"/>
      </bottom>
      <diagonal/>
    </border>
    <border>
      <left/>
      <right/>
      <top style="hair">
        <color indexed="64"/>
      </top>
      <bottom/>
      <diagonal/>
    </border>
    <border>
      <left/>
      <right style="medium">
        <color indexed="64"/>
      </right>
      <top style="hair">
        <color indexed="64"/>
      </top>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s>
  <cellStyleXfs count="4">
    <xf numFmtId="0" fontId="11" fillId="0" borderId="0" applyAlignment="1">
      <alignment vertical="center"/>
    </xf>
    <xf numFmtId="0" fontId="2" fillId="0" borderId="0" applyAlignment="1">
      <alignment vertical="center"/>
    </xf>
    <xf numFmtId="0" fontId="2" fillId="0" borderId="0" applyAlignment="1">
      <alignment vertical="center"/>
    </xf>
    <xf numFmtId="38" fontId="11" fillId="0" borderId="0" applyAlignment="1">
      <alignment vertical="center"/>
    </xf>
  </cellStyleXfs>
  <cellXfs count="338">
    <xf numFmtId="0" fontId="0" fillId="0" borderId="0" applyAlignment="1" pivotButton="0" quotePrefix="0" xfId="0">
      <alignment vertical="center"/>
    </xf>
    <xf numFmtId="0" fontId="3" fillId="0" borderId="0" applyAlignment="1" pivotButton="0" quotePrefix="0" xfId="0">
      <alignment vertical="center"/>
    </xf>
    <xf numFmtId="0" fontId="8" fillId="0" borderId="0" applyAlignment="1" pivotButton="0" quotePrefix="0" xfId="0">
      <alignment vertical="center"/>
    </xf>
    <xf numFmtId="0" fontId="5" fillId="0" borderId="0" applyAlignment="1" pivotButton="0" quotePrefix="0" xfId="0">
      <alignment vertical="center"/>
    </xf>
    <xf numFmtId="0" fontId="6" fillId="0" borderId="5" applyAlignment="1" pivotButton="0" quotePrefix="0" xfId="0">
      <alignment vertical="center"/>
    </xf>
    <xf numFmtId="0" fontId="7" fillId="0" borderId="7" applyAlignment="1" pivotButton="0" quotePrefix="0" xfId="0">
      <alignment vertical="center"/>
    </xf>
    <xf numFmtId="0" fontId="6" fillId="0" borderId="1" applyAlignment="1" pivotButton="0" quotePrefix="0" xfId="0">
      <alignment vertical="center"/>
    </xf>
    <xf numFmtId="0" fontId="7" fillId="0" borderId="10" applyAlignment="1" pivotButton="0" quotePrefix="0" xfId="0">
      <alignment vertical="center"/>
    </xf>
    <xf numFmtId="0" fontId="6" fillId="0" borderId="20" applyAlignment="1" pivotButton="0" quotePrefix="0" xfId="0">
      <alignment horizontal="center" vertical="center"/>
    </xf>
    <xf numFmtId="164" fontId="3" fillId="0" borderId="12" applyAlignment="1" pivotButton="0" quotePrefix="0" xfId="0">
      <alignment vertical="center"/>
    </xf>
    <xf numFmtId="164" fontId="6" fillId="0" borderId="14" applyAlignment="1" pivotButton="0" quotePrefix="0" xfId="0">
      <alignment horizontal="center" vertical="center"/>
    </xf>
    <xf numFmtId="0" fontId="7" fillId="0" borderId="7" applyAlignment="1" pivotButton="0" quotePrefix="0" xfId="0">
      <alignment vertical="center" wrapText="1"/>
    </xf>
    <xf numFmtId="0" fontId="6" fillId="0" borderId="1" applyAlignment="1" pivotButton="0" quotePrefix="0" xfId="0">
      <alignment horizontal="left" vertical="center" wrapText="1"/>
    </xf>
    <xf numFmtId="165" fontId="6" fillId="0" borderId="0" applyAlignment="1" pivotButton="0" quotePrefix="0" xfId="0">
      <alignment vertical="center"/>
    </xf>
    <xf numFmtId="165" fontId="3" fillId="0" borderId="0" applyAlignment="1" pivotButton="0" quotePrefix="0" xfId="0">
      <alignment vertical="center"/>
    </xf>
    <xf numFmtId="165" fontId="6" fillId="0" borderId="0" applyAlignment="1" pivotButton="0" quotePrefix="0" xfId="0">
      <alignment horizontal="center" vertical="center"/>
    </xf>
    <xf numFmtId="165" fontId="3" fillId="0" borderId="0" applyAlignment="1" pivotButton="0" quotePrefix="0" xfId="0">
      <alignment horizontal="center" vertical="center"/>
    </xf>
    <xf numFmtId="38" fontId="3" fillId="0" borderId="0" applyAlignment="1" pivotButton="0" quotePrefix="0" xfId="3">
      <alignment vertical="center"/>
    </xf>
    <xf numFmtId="0" fontId="12" fillId="0" borderId="34" applyAlignment="1" pivotButton="0" quotePrefix="0" xfId="0">
      <alignment horizontal="left" vertical="top" wrapText="1"/>
    </xf>
    <xf numFmtId="0" fontId="12" fillId="0" borderId="0" applyAlignment="1" pivotButton="0" quotePrefix="0" xfId="0">
      <alignment horizontal="left" vertical="top" wrapText="1"/>
    </xf>
    <xf numFmtId="0" fontId="3" fillId="0" borderId="16" applyAlignment="1" pivotButton="0" quotePrefix="0" xfId="0">
      <alignment vertical="center"/>
    </xf>
    <xf numFmtId="0" fontId="9" fillId="0" borderId="1" applyAlignment="1" pivotButton="0" quotePrefix="0" xfId="0">
      <alignment horizontal="left" vertical="center"/>
    </xf>
    <xf numFmtId="0" fontId="12" fillId="0" borderId="47" applyAlignment="1" pivotButton="0" quotePrefix="0" xfId="0">
      <alignment horizontal="left" vertical="top" wrapText="1"/>
    </xf>
    <xf numFmtId="0" fontId="12" fillId="0" borderId="51" applyAlignment="1" pivotButton="0" quotePrefix="0" xfId="0">
      <alignment horizontal="left" vertical="top" wrapText="1"/>
    </xf>
    <xf numFmtId="0" fontId="12" fillId="0" borderId="52" applyAlignment="1" pivotButton="0" quotePrefix="0" xfId="0">
      <alignment horizontal="left" vertical="top" wrapText="1"/>
    </xf>
    <xf numFmtId="0" fontId="12" fillId="0" borderId="53" applyAlignment="1" pivotButton="0" quotePrefix="0" xfId="0">
      <alignment horizontal="left" vertical="top" wrapText="1"/>
    </xf>
    <xf numFmtId="0" fontId="15" fillId="0" borderId="62" applyAlignment="1" pivotButton="0" quotePrefix="0" xfId="0">
      <alignment horizontal="center" vertical="center" wrapText="1"/>
    </xf>
    <xf numFmtId="0" fontId="7" fillId="2" borderId="1" applyAlignment="1" pivotButton="0" quotePrefix="0" xfId="0">
      <alignment vertical="center" wrapText="1"/>
    </xf>
    <xf numFmtId="164" fontId="3" fillId="2" borderId="2" applyAlignment="1" pivotButton="0" quotePrefix="0" xfId="0">
      <alignment vertical="center" wrapText="1"/>
    </xf>
    <xf numFmtId="165" fontId="6" fillId="0" borderId="0" applyAlignment="1" pivotButton="0" quotePrefix="0" xfId="0">
      <alignment horizontal="left" vertical="center"/>
    </xf>
    <xf numFmtId="0" fontId="7" fillId="0" borderId="4" applyAlignment="1" pivotButton="0" quotePrefix="0" xfId="0">
      <alignment vertical="center"/>
    </xf>
    <xf numFmtId="0" fontId="7" fillId="0" borderId="0" applyAlignment="1" pivotButton="0" quotePrefix="0" xfId="0">
      <alignment vertical="center"/>
    </xf>
    <xf numFmtId="0" fontId="7" fillId="0" borderId="45" applyAlignment="1" pivotButton="0" quotePrefix="0" xfId="0">
      <alignment vertical="center" wrapText="1"/>
    </xf>
    <xf numFmtId="0" fontId="15" fillId="0" borderId="48" applyAlignment="1" pivotButton="0" quotePrefix="0" xfId="0">
      <alignment horizontal="center" vertical="center" wrapText="1"/>
    </xf>
    <xf numFmtId="0" fontId="14" fillId="0" borderId="49" applyAlignment="1" pivotButton="0" quotePrefix="0" xfId="0">
      <alignment horizontal="center" vertical="center" wrapText="1"/>
    </xf>
    <xf numFmtId="164" fontId="14" fillId="0" borderId="12" applyAlignment="1" pivotButton="0" quotePrefix="0" xfId="0">
      <alignment horizontal="center" vertical="center"/>
    </xf>
    <xf numFmtId="0" fontId="18" fillId="0" borderId="69" applyAlignment="1" pivotButton="0" quotePrefix="0" xfId="0">
      <alignment horizontal="center" vertical="center" wrapText="1"/>
    </xf>
    <xf numFmtId="0" fontId="3" fillId="3" borderId="0" applyAlignment="1" pivotButton="0" quotePrefix="0" xfId="0">
      <alignment horizontal="center" vertical="center"/>
    </xf>
    <xf numFmtId="0" fontId="10" fillId="0" borderId="24" applyAlignment="1" pivotButton="0" quotePrefix="0" xfId="0">
      <alignment horizontal="center" vertical="center"/>
    </xf>
    <xf numFmtId="0" fontId="10" fillId="0" borderId="37" applyAlignment="1" pivotButton="0" quotePrefix="0" xfId="0">
      <alignment horizontal="center" vertical="center"/>
    </xf>
    <xf numFmtId="0" fontId="10" fillId="0" borderId="26" applyAlignment="1" pivotButton="0" quotePrefix="1" xfId="0">
      <alignment horizontal="center" vertical="center"/>
    </xf>
    <xf numFmtId="14" fontId="3" fillId="3" borderId="27" applyAlignment="1" pivotButton="0" quotePrefix="0" xfId="0">
      <alignment horizontal="center" vertical="center"/>
    </xf>
    <xf numFmtId="14" fontId="3" fillId="3" borderId="63" applyAlignment="1" pivotButton="0" quotePrefix="0" xfId="0">
      <alignment horizontal="center" vertical="center"/>
    </xf>
    <xf numFmtId="14" fontId="3" fillId="3" borderId="64" applyAlignment="1" pivotButton="0" quotePrefix="0" xfId="0">
      <alignment horizontal="center" vertical="center"/>
    </xf>
    <xf numFmtId="0" fontId="3" fillId="3" borderId="22" applyAlignment="1" pivotButton="0" quotePrefix="0" xfId="0">
      <alignment horizontal="center" vertical="center"/>
    </xf>
    <xf numFmtId="0" fontId="3" fillId="3" borderId="23" applyAlignment="1" pivotButton="0" quotePrefix="0" xfId="0">
      <alignment horizontal="center" vertical="center"/>
    </xf>
    <xf numFmtId="0" fontId="3" fillId="3" borderId="65" applyAlignment="1" pivotButton="0" quotePrefix="1" xfId="0">
      <alignment horizontal="center" vertical="center"/>
    </xf>
    <xf numFmtId="0" fontId="10" fillId="3" borderId="0" applyAlignment="1" pivotButton="0" quotePrefix="0" xfId="0">
      <alignment vertical="center"/>
    </xf>
    <xf numFmtId="0" fontId="3" fillId="3" borderId="0" applyAlignment="1" pivotButton="0" quotePrefix="0" xfId="0">
      <alignment vertical="center"/>
    </xf>
    <xf numFmtId="0" fontId="3" fillId="4" borderId="2" applyAlignment="1" pivotButton="0" quotePrefix="0" xfId="0">
      <alignment vertical="center" wrapText="1"/>
    </xf>
    <xf numFmtId="0" fontId="3" fillId="4" borderId="0" applyAlignment="1" pivotButton="0" quotePrefix="0" xfId="0">
      <alignment horizontal="center" vertical="center"/>
    </xf>
    <xf numFmtId="0" fontId="3" fillId="4" borderId="5"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6" applyAlignment="1" pivotButton="0" quotePrefix="0" xfId="0">
      <alignment horizontal="center" vertical="center" wrapText="1"/>
    </xf>
    <xf numFmtId="0" fontId="8" fillId="4" borderId="8" applyAlignment="1" pivotButton="0" quotePrefix="0" xfId="0">
      <alignment horizontal="center" vertical="center"/>
    </xf>
    <xf numFmtId="0" fontId="3" fillId="3" borderId="1" applyAlignment="1" pivotButton="0" quotePrefix="0" xfId="0">
      <alignment horizontal="center" vertical="center" wrapText="1"/>
    </xf>
    <xf numFmtId="0" fontId="3" fillId="3" borderId="5" applyAlignment="1" pivotButton="0" quotePrefix="0" xfId="0">
      <alignment horizontal="center" vertical="center"/>
    </xf>
    <xf numFmtId="0" fontId="8" fillId="4" borderId="8" applyAlignment="1" pivotButton="0" quotePrefix="0" xfId="0">
      <alignment horizontal="center" vertical="center" wrapText="1"/>
    </xf>
    <xf numFmtId="0" fontId="8" fillId="4" borderId="9" applyAlignment="1" pivotButton="0" quotePrefix="0" xfId="0">
      <alignment horizontal="center" vertical="center" wrapText="1"/>
    </xf>
    <xf numFmtId="0" fontId="3" fillId="4" borderId="9" applyAlignment="1" pivotButton="0" quotePrefix="0" xfId="0">
      <alignment horizontal="center" vertical="center"/>
    </xf>
    <xf numFmtId="0" fontId="8" fillId="3" borderId="8" applyAlignment="1" pivotButton="0" quotePrefix="0" xfId="0">
      <alignment horizontal="center" vertical="center"/>
    </xf>
    <xf numFmtId="166" fontId="6" fillId="3" borderId="1" applyAlignment="1" pivotButton="0" quotePrefix="0" xfId="0">
      <alignment horizontal="center" vertical="center"/>
    </xf>
    <xf numFmtId="164" fontId="3" fillId="3" borderId="32" applyAlignment="1" pivotButton="0" quotePrefix="0" xfId="0">
      <alignment horizontal="center" vertical="center"/>
    </xf>
    <xf numFmtId="0" fontId="18" fillId="0" borderId="70" applyAlignment="1" pivotButton="0" quotePrefix="0" xfId="0">
      <alignment horizontal="center" vertical="center" wrapText="1"/>
    </xf>
    <xf numFmtId="164" fontId="6" fillId="2" borderId="8" applyAlignment="1" pivotButton="0" quotePrefix="0" xfId="0">
      <alignment vertical="center"/>
    </xf>
    <xf numFmtId="0" fontId="19" fillId="4" borderId="18" applyAlignment="1" pivotButton="0" quotePrefix="0" xfId="0">
      <alignment horizontal="center" vertical="center"/>
    </xf>
    <xf numFmtId="0" fontId="3" fillId="0" borderId="0" applyAlignment="1" pivotButton="0" quotePrefix="0" xfId="0">
      <alignment horizontal="center" vertical="center"/>
    </xf>
    <xf numFmtId="0" fontId="10" fillId="0" borderId="0" applyAlignment="1" pivotButton="0" quotePrefix="0" xfId="0">
      <alignment vertical="center"/>
    </xf>
    <xf numFmtId="0" fontId="7" fillId="0" borderId="1" applyAlignment="1" pivotButton="0" quotePrefix="0" xfId="0">
      <alignment vertical="center" wrapText="1"/>
    </xf>
    <xf numFmtId="164" fontId="3" fillId="0" borderId="2" applyAlignment="1" pivotButton="0" quotePrefix="0" xfId="0">
      <alignment vertical="center" wrapText="1"/>
    </xf>
    <xf numFmtId="164" fontId="6" fillId="0" borderId="8" applyAlignment="1" pivotButton="0" quotePrefix="0" xfId="0">
      <alignment vertical="center"/>
    </xf>
    <xf numFmtId="38" fontId="20" fillId="3" borderId="11" applyAlignment="1" pivotButton="0" quotePrefix="0" xfId="3">
      <alignment horizontal="right" vertical="center"/>
    </xf>
    <xf numFmtId="0" fontId="3" fillId="5" borderId="2" applyAlignment="1" pivotButton="0" quotePrefix="0" xfId="0">
      <alignment vertical="center" wrapText="1"/>
    </xf>
    <xf numFmtId="0" fontId="3" fillId="5"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5" borderId="6" applyAlignment="1" pivotButton="0" quotePrefix="0" xfId="0">
      <alignment horizontal="center" vertical="center" wrapText="1"/>
    </xf>
    <xf numFmtId="0" fontId="8" fillId="5" borderId="8" applyAlignment="1" pivotButton="0" quotePrefix="0" xfId="0">
      <alignment horizontal="center" vertical="center"/>
    </xf>
    <xf numFmtId="0" fontId="8" fillId="5" borderId="8" applyAlignment="1" pivotButton="0" quotePrefix="0" xfId="0">
      <alignment horizontal="center" vertical="center" wrapText="1"/>
    </xf>
    <xf numFmtId="0" fontId="8" fillId="5" borderId="9" applyAlignment="1" pivotButton="0" quotePrefix="0" xfId="0">
      <alignment horizontal="center" vertical="center" wrapText="1"/>
    </xf>
    <xf numFmtId="0" fontId="19" fillId="5" borderId="18" applyAlignment="1" pivotButton="0" quotePrefix="0" xfId="0">
      <alignment horizontal="center" vertical="center"/>
    </xf>
    <xf numFmtId="164" fontId="3" fillId="3" borderId="12" applyAlignment="1" pivotButton="0" quotePrefix="0" xfId="0">
      <alignment vertical="center"/>
    </xf>
    <xf numFmtId="0" fontId="3" fillId="5" borderId="9" applyAlignment="1" pivotButton="0" quotePrefix="0" xfId="0">
      <alignment horizontal="center" vertical="center"/>
    </xf>
    <xf numFmtId="0" fontId="9" fillId="0" borderId="1" applyAlignment="1" pivotButton="0" quotePrefix="0" xfId="0">
      <alignment horizontal="left" vertical="center" wrapText="1"/>
    </xf>
    <xf numFmtId="165" fontId="3" fillId="0" borderId="0" applyAlignment="1" pivotButton="0" quotePrefix="0" xfId="0">
      <alignment horizontal="left" vertical="center"/>
    </xf>
    <xf numFmtId="14" fontId="3" fillId="3" borderId="63" applyAlignment="1" pivotButton="0" quotePrefix="0" xfId="0">
      <alignment horizontal="center" vertical="center" wrapText="1"/>
    </xf>
    <xf numFmtId="14" fontId="3" fillId="3" borderId="27" applyAlignment="1" pivotButton="0" quotePrefix="0" xfId="0">
      <alignment horizontal="center" vertical="center" wrapText="1"/>
    </xf>
    <xf numFmtId="14" fontId="3" fillId="3" borderId="64" applyAlignment="1" pivotButton="0" quotePrefix="0" xfId="0">
      <alignment horizontal="center" vertical="center" wrapText="1"/>
    </xf>
    <xf numFmtId="0" fontId="7" fillId="0" borderId="50" applyAlignment="1" pivotButton="0" quotePrefix="0" xfId="0">
      <alignment horizontal="left" vertical="center" wrapText="1"/>
    </xf>
    <xf numFmtId="0" fontId="7" fillId="0" borderId="33" applyAlignment="1" pivotButton="0" quotePrefix="0" xfId="0">
      <alignment horizontal="left" vertical="center" wrapText="1"/>
    </xf>
    <xf numFmtId="0" fontId="7" fillId="0" borderId="55" applyAlignment="1" pivotButton="0" quotePrefix="0" xfId="0">
      <alignment horizontal="left" vertical="center" wrapText="1"/>
    </xf>
    <xf numFmtId="0" fontId="13" fillId="0" borderId="56" applyAlignment="1" pivotButton="0" quotePrefix="0" xfId="0">
      <alignment horizontal="left" vertical="top" wrapText="1"/>
    </xf>
    <xf numFmtId="0" fontId="13" fillId="0" borderId="57" applyAlignment="1" pivotButton="0" quotePrefix="0" xfId="0">
      <alignment horizontal="left" vertical="top" wrapText="1"/>
    </xf>
    <xf numFmtId="0" fontId="13" fillId="0" borderId="57" applyAlignment="1" pivotButton="0" quotePrefix="0" xfId="0">
      <alignment horizontal="left" vertical="top"/>
    </xf>
    <xf numFmtId="0" fontId="13" fillId="0" borderId="58" applyAlignment="1" pivotButton="0" quotePrefix="0" xfId="0">
      <alignment horizontal="left" vertical="top"/>
    </xf>
    <xf numFmtId="0" fontId="7" fillId="0" borderId="27" applyAlignment="1" pivotButton="0" quotePrefix="0" xfId="0">
      <alignment horizontal="left" vertical="center" wrapText="1"/>
    </xf>
    <xf numFmtId="0" fontId="7" fillId="0" borderId="13" applyAlignment="1" pivotButton="0" quotePrefix="0" xfId="0">
      <alignment horizontal="left" vertical="center" wrapText="1"/>
    </xf>
    <xf numFmtId="0" fontId="12" fillId="0" borderId="28" applyAlignment="1" pivotButton="0" quotePrefix="0" xfId="0">
      <alignment horizontal="left" vertical="top" wrapText="1"/>
    </xf>
    <xf numFmtId="0" fontId="12" fillId="0" borderId="29" applyAlignment="1" pivotButton="0" quotePrefix="0" xfId="0">
      <alignment horizontal="left" vertical="top" wrapText="1"/>
    </xf>
    <xf numFmtId="0" fontId="12" fillId="0" borderId="29" applyAlignment="1" pivotButton="0" quotePrefix="0" xfId="0">
      <alignment horizontal="left" vertical="top"/>
    </xf>
    <xf numFmtId="0" fontId="12" fillId="0" borderId="54" applyAlignment="1" pivotButton="0" quotePrefix="0" xfId="0">
      <alignment horizontal="left" vertical="top"/>
    </xf>
    <xf numFmtId="0" fontId="12" fillId="0" borderId="39" applyAlignment="1" pivotButton="0" quotePrefix="0" xfId="0">
      <alignment horizontal="left" vertical="top" wrapText="1"/>
    </xf>
    <xf numFmtId="0" fontId="12" fillId="0" borderId="40" applyAlignment="1" pivotButton="0" quotePrefix="0" xfId="0">
      <alignment horizontal="left" vertical="top" wrapText="1"/>
    </xf>
    <xf numFmtId="0" fontId="12" fillId="0" borderId="40" applyAlignment="1" pivotButton="0" quotePrefix="0" xfId="0">
      <alignment horizontal="left" vertical="top"/>
    </xf>
    <xf numFmtId="0" fontId="12" fillId="0" borderId="41" applyAlignment="1" pivotButton="0" quotePrefix="0" xfId="0">
      <alignment horizontal="left" vertical="top"/>
    </xf>
    <xf numFmtId="0" fontId="12" fillId="0" borderId="59" applyAlignment="1" pivotButton="0" quotePrefix="0" xfId="0">
      <alignment horizontal="left" vertical="top" wrapText="1"/>
    </xf>
    <xf numFmtId="0" fontId="12" fillId="0" borderId="60" applyAlignment="1" pivotButton="0" quotePrefix="0" xfId="0">
      <alignment horizontal="left" vertical="top" wrapText="1"/>
    </xf>
    <xf numFmtId="0" fontId="12" fillId="0" borderId="61" applyAlignment="1" pivotButton="0" quotePrefix="0" xfId="0">
      <alignment horizontal="left" vertical="top" wrapText="1"/>
    </xf>
    <xf numFmtId="0" fontId="14" fillId="0" borderId="66" applyAlignment="1" pivotButton="0" quotePrefix="0" xfId="0">
      <alignment horizontal="center" vertical="center" wrapText="1"/>
    </xf>
    <xf numFmtId="0" fontId="14" fillId="0" borderId="38" applyAlignment="1" pivotButton="0" quotePrefix="0" xfId="0">
      <alignment horizontal="center" vertical="center" wrapText="1"/>
    </xf>
    <xf numFmtId="0" fontId="6" fillId="0" borderId="16" applyAlignment="1" pivotButton="0" quotePrefix="0" xfId="0">
      <alignment horizontal="center" vertical="center"/>
    </xf>
    <xf numFmtId="0" fontId="6" fillId="0" borderId="68" applyAlignment="1" pivotButton="0" quotePrefix="0" xfId="0">
      <alignment horizontal="center" vertical="center"/>
    </xf>
    <xf numFmtId="0" fontId="6" fillId="0" borderId="17" applyAlignment="1" pivotButton="0" quotePrefix="0" xfId="0">
      <alignment horizontal="center" vertical="center"/>
    </xf>
    <xf numFmtId="0" fontId="6" fillId="0" borderId="67" applyAlignment="1" pivotButton="0" quotePrefix="0" xfId="0">
      <alignment horizontal="center" vertical="top" wrapText="1"/>
    </xf>
    <xf numFmtId="0" fontId="6" fillId="0" borderId="68" applyAlignment="1" pivotButton="0" quotePrefix="0" xfId="0">
      <alignment horizontal="center" vertical="top" wrapText="1"/>
    </xf>
    <xf numFmtId="0" fontId="6" fillId="0" borderId="17" applyAlignment="1" pivotButton="0" quotePrefix="0" xfId="0">
      <alignment horizontal="center" vertical="top" wrapText="1"/>
    </xf>
    <xf numFmtId="0" fontId="8" fillId="3" borderId="28" applyAlignment="1" pivotButton="0" quotePrefix="0" xfId="0">
      <alignment horizontal="left" vertical="center" wrapText="1"/>
    </xf>
    <xf numFmtId="0" fontId="8" fillId="3" borderId="29" applyAlignment="1" pivotButton="0" quotePrefix="0" xfId="0">
      <alignment horizontal="left" vertical="center" wrapText="1"/>
    </xf>
    <xf numFmtId="0" fontId="8" fillId="3" borderId="30" applyAlignment="1" pivotButton="0" quotePrefix="0" xfId="0">
      <alignment horizontal="left" vertical="center" wrapText="1"/>
    </xf>
    <xf numFmtId="0" fontId="8" fillId="3" borderId="34" applyAlignment="1" pivotButton="0" quotePrefix="0" xfId="0">
      <alignment horizontal="left" vertical="center" wrapText="1"/>
    </xf>
    <xf numFmtId="0" fontId="8" fillId="3" borderId="0" applyAlignment="1" pivotButton="0" quotePrefix="0" xfId="0">
      <alignment horizontal="left" vertical="center" wrapText="1"/>
    </xf>
    <xf numFmtId="0" fontId="8" fillId="3" borderId="35" applyAlignment="1" pivotButton="0" quotePrefix="0" xfId="0">
      <alignment horizontal="left" vertical="center" wrapText="1"/>
    </xf>
    <xf numFmtId="0" fontId="8" fillId="3" borderId="14" applyAlignment="1" pivotButton="0" quotePrefix="0" xfId="0">
      <alignment horizontal="left" vertical="center" wrapText="1"/>
    </xf>
    <xf numFmtId="0" fontId="8" fillId="3" borderId="15" applyAlignment="1" pivotButton="0" quotePrefix="0" xfId="0">
      <alignment horizontal="left" vertical="center" wrapText="1"/>
    </xf>
    <xf numFmtId="0" fontId="8" fillId="3" borderId="31" applyAlignment="1" pivotButton="0" quotePrefix="0" xfId="0">
      <alignment horizontal="left" vertical="center" wrapText="1"/>
    </xf>
    <xf numFmtId="0" fontId="8" fillId="3" borderId="2" applyAlignment="1" pivotButton="0" quotePrefix="0" xfId="0">
      <alignment horizontal="left" vertical="center" wrapText="1"/>
    </xf>
    <xf numFmtId="0" fontId="8" fillId="3" borderId="3" applyAlignment="1" pivotButton="0" quotePrefix="0" xfId="0">
      <alignment horizontal="left" vertical="center" wrapText="1"/>
    </xf>
    <xf numFmtId="0" fontId="8" fillId="3" borderId="19" applyAlignment="1" pivotButton="0" quotePrefix="0" xfId="0">
      <alignment horizontal="left" vertical="center" wrapText="1"/>
    </xf>
    <xf numFmtId="0" fontId="10" fillId="0" borderId="24" applyAlignment="1" pivotButton="0" quotePrefix="0" xfId="0">
      <alignment horizontal="center" vertical="center"/>
    </xf>
    <xf numFmtId="0" fontId="10" fillId="0" borderId="36" applyAlignment="1" pivotButton="0" quotePrefix="0" xfId="0">
      <alignment horizontal="center" vertical="center"/>
    </xf>
    <xf numFmtId="0" fontId="10" fillId="0" borderId="25" applyAlignment="1" pivotButton="0" quotePrefix="0" xfId="0">
      <alignment horizontal="center" vertical="center"/>
    </xf>
    <xf numFmtId="0" fontId="3" fillId="3" borderId="2" applyAlignment="1" pivotButton="0" quotePrefix="0" xfId="0">
      <alignment horizontal="left" vertical="center" wrapText="1"/>
    </xf>
    <xf numFmtId="0" fontId="3" fillId="3" borderId="3" applyAlignment="1" pivotButton="0" quotePrefix="0" xfId="0">
      <alignment horizontal="left" vertical="center" wrapText="1"/>
    </xf>
    <xf numFmtId="0" fontId="3" fillId="3" borderId="19" applyAlignment="1" pivotButton="0" quotePrefix="0" xfId="0">
      <alignment horizontal="left" vertical="center"/>
    </xf>
    <xf numFmtId="0" fontId="3" fillId="3" borderId="2" applyAlignment="1" pivotButton="0" quotePrefix="0" xfId="0">
      <alignment horizontal="center" vertical="center"/>
    </xf>
    <xf numFmtId="0" fontId="3" fillId="3" borderId="9" applyAlignment="1" pivotButton="0" quotePrefix="0" xfId="0">
      <alignment horizontal="center" vertical="center"/>
    </xf>
    <xf numFmtId="0" fontId="21" fillId="3" borderId="11" applyAlignment="1" pivotButton="0" quotePrefix="0" xfId="0">
      <alignment horizontal="left" vertical="center" wrapText="1"/>
    </xf>
    <xf numFmtId="0" fontId="21" fillId="3" borderId="44" applyAlignment="1" pivotButton="0" quotePrefix="0" xfId="0">
      <alignment horizontal="left" vertical="center" wrapText="1"/>
    </xf>
    <xf numFmtId="0" fontId="21" fillId="3" borderId="21" applyAlignment="1" pivotButton="0" quotePrefix="0" xfId="0">
      <alignment horizontal="left" vertical="center" wrapText="1"/>
    </xf>
    <xf numFmtId="0" fontId="21" fillId="3" borderId="2" applyAlignment="1" pivotButton="0" quotePrefix="0" xfId="0">
      <alignment horizontal="left" vertical="center" wrapText="1"/>
    </xf>
    <xf numFmtId="0" fontId="21" fillId="3" borderId="3" applyAlignment="1" pivotButton="0" quotePrefix="0" xfId="0">
      <alignment horizontal="left" vertical="center"/>
    </xf>
    <xf numFmtId="0" fontId="21" fillId="3" borderId="9" applyAlignment="1" pivotButton="0" quotePrefix="0" xfId="0">
      <alignment horizontal="left" vertical="center"/>
    </xf>
    <xf numFmtId="0" fontId="0" fillId="3" borderId="3" applyAlignment="1" pivotButton="0" quotePrefix="0" xfId="0">
      <alignment vertical="center" wrapText="1"/>
    </xf>
    <xf numFmtId="0" fontId="0" fillId="3" borderId="19" applyAlignment="1" pivotButton="0" quotePrefix="0" xfId="0">
      <alignment vertical="center" wrapText="1"/>
    </xf>
    <xf numFmtId="0" fontId="21" fillId="3" borderId="28" applyAlignment="1" pivotButton="0" quotePrefix="0" xfId="0">
      <alignment horizontal="left" vertical="center" wrapText="1"/>
    </xf>
    <xf numFmtId="0" fontId="21" fillId="3" borderId="29" applyAlignment="1" pivotButton="0" quotePrefix="0" xfId="0">
      <alignment horizontal="left" vertical="center" wrapText="1"/>
    </xf>
    <xf numFmtId="0" fontId="21" fillId="3" borderId="30" applyAlignment="1" pivotButton="0" quotePrefix="0" xfId="0">
      <alignment horizontal="left" vertical="center" wrapText="1"/>
    </xf>
    <xf numFmtId="0" fontId="21" fillId="3" borderId="34" applyAlignment="1" pivotButton="0" quotePrefix="0" xfId="0">
      <alignment horizontal="left" vertical="center" wrapText="1"/>
    </xf>
    <xf numFmtId="0" fontId="21" fillId="3" borderId="0" applyAlignment="1" pivotButton="0" quotePrefix="0" xfId="0">
      <alignment horizontal="left" vertical="center" wrapText="1"/>
    </xf>
    <xf numFmtId="0" fontId="21" fillId="3" borderId="35" applyAlignment="1" pivotButton="0" quotePrefix="0" xfId="0">
      <alignment horizontal="left" vertical="center" wrapText="1"/>
    </xf>
    <xf numFmtId="0" fontId="21" fillId="3" borderId="3" applyAlignment="1" pivotButton="0" quotePrefix="0" xfId="0">
      <alignment horizontal="left" vertical="center" wrapText="1"/>
    </xf>
    <xf numFmtId="0" fontId="3" fillId="3" borderId="11" applyAlignment="1" pivotButton="0" quotePrefix="0" xfId="0">
      <alignment horizontal="left" vertical="center" wrapText="1"/>
    </xf>
    <xf numFmtId="0" fontId="3" fillId="3" borderId="44" applyAlignment="1" pivotButton="0" quotePrefix="0" xfId="0">
      <alignment horizontal="left" vertical="center" wrapText="1"/>
    </xf>
    <xf numFmtId="0" fontId="3" fillId="3" borderId="21" applyAlignment="1" pivotButton="0" quotePrefix="0" xfId="0">
      <alignment horizontal="left" vertical="center" wrapText="1"/>
    </xf>
    <xf numFmtId="0" fontId="3" fillId="3" borderId="28" applyAlignment="1" pivotButton="0" quotePrefix="0" xfId="0">
      <alignment horizontal="left" vertical="top" wrapText="1"/>
    </xf>
    <xf numFmtId="0" fontId="3" fillId="3" borderId="29" applyAlignment="1" pivotButton="0" quotePrefix="0" xfId="0">
      <alignment horizontal="left" vertical="top" wrapText="1"/>
    </xf>
    <xf numFmtId="0" fontId="3" fillId="3" borderId="30" applyAlignment="1" pivotButton="0" quotePrefix="0" xfId="0">
      <alignment horizontal="left" vertical="top" wrapText="1"/>
    </xf>
    <xf numFmtId="0" fontId="3" fillId="3" borderId="34" applyAlignment="1" pivotButton="0" quotePrefix="0" xfId="0">
      <alignment horizontal="left" vertical="top" wrapText="1"/>
    </xf>
    <xf numFmtId="0" fontId="3" fillId="3" borderId="0" applyAlignment="1" pivotButton="0" quotePrefix="0" xfId="0">
      <alignment horizontal="left" vertical="top" wrapText="1"/>
    </xf>
    <xf numFmtId="0" fontId="3" fillId="3" borderId="35" applyAlignment="1" pivotButton="0" quotePrefix="0" xfId="0">
      <alignment horizontal="left" vertical="top" wrapText="1"/>
    </xf>
    <xf numFmtId="0" fontId="3" fillId="3" borderId="14" applyAlignment="1" pivotButton="0" quotePrefix="0" xfId="0">
      <alignment horizontal="left" vertical="top" wrapText="1"/>
    </xf>
    <xf numFmtId="0" fontId="3" fillId="3" borderId="15" applyAlignment="1" pivotButton="0" quotePrefix="0" xfId="0">
      <alignment horizontal="left" vertical="top" wrapText="1"/>
    </xf>
    <xf numFmtId="0" fontId="3" fillId="3" borderId="31" applyAlignment="1" pivotButton="0" quotePrefix="0" xfId="0">
      <alignment horizontal="left" vertical="top" wrapText="1"/>
    </xf>
    <xf numFmtId="164" fontId="10" fillId="0" borderId="16" applyAlignment="1" pivotButton="0" quotePrefix="0" xfId="0">
      <alignment horizontal="center" vertical="center"/>
    </xf>
    <xf numFmtId="164" fontId="10" fillId="0" borderId="17" applyAlignment="1" pivotButton="0" quotePrefix="0" xfId="0">
      <alignment horizontal="center" vertical="center"/>
    </xf>
    <xf numFmtId="0" fontId="8" fillId="3" borderId="2" applyAlignment="1" pivotButton="0" quotePrefix="0" xfId="0">
      <alignment horizontal="left" vertical="top"/>
    </xf>
    <xf numFmtId="0" fontId="8" fillId="3" borderId="3" applyAlignment="1" pivotButton="0" quotePrefix="0" xfId="0">
      <alignment horizontal="left" vertical="top"/>
    </xf>
    <xf numFmtId="0" fontId="8" fillId="3" borderId="9" applyAlignment="1" pivotButton="0" quotePrefix="0" xfId="0">
      <alignment horizontal="left" vertical="top"/>
    </xf>
    <xf numFmtId="0" fontId="3" fillId="3" borderId="11" applyAlignment="1" pivotButton="0" quotePrefix="0" xfId="0">
      <alignment horizontal="left" vertical="top"/>
    </xf>
    <xf numFmtId="0" fontId="3" fillId="3" borderId="44" applyAlignment="1" pivotButton="0" quotePrefix="0" xfId="0">
      <alignment horizontal="left" vertical="top"/>
    </xf>
    <xf numFmtId="0" fontId="3" fillId="3" borderId="12" applyAlignment="1" pivotButton="0" quotePrefix="0" xfId="0">
      <alignment horizontal="left" vertical="top"/>
    </xf>
    <xf numFmtId="0" fontId="7" fillId="0" borderId="45" applyAlignment="1" pivotButton="0" quotePrefix="0" xfId="0">
      <alignment horizontal="left" vertical="center" wrapText="1"/>
    </xf>
    <xf numFmtId="0" fontId="3" fillId="3" borderId="46" applyAlignment="1" pivotButton="0" quotePrefix="0" xfId="0">
      <alignment horizontal="left" vertical="top" wrapText="1"/>
    </xf>
    <xf numFmtId="0" fontId="3" fillId="3" borderId="42" applyAlignment="1" pivotButton="0" quotePrefix="0" xfId="0">
      <alignment horizontal="left" vertical="top" wrapText="1"/>
    </xf>
    <xf numFmtId="0" fontId="3" fillId="3" borderId="43" applyAlignment="1" pivotButton="0" quotePrefix="0" xfId="0">
      <alignment horizontal="left" vertical="top" wrapText="1"/>
    </xf>
    <xf numFmtId="0" fontId="0" fillId="3" borderId="14" applyAlignment="1" pivotButton="0" quotePrefix="0" xfId="0">
      <alignment horizontal="left" vertical="top" wrapText="1"/>
    </xf>
    <xf numFmtId="0" fontId="0" fillId="3" borderId="15" applyAlignment="1" pivotButton="0" quotePrefix="0" xfId="0">
      <alignment horizontal="left" vertical="top" wrapText="1"/>
    </xf>
    <xf numFmtId="0" fontId="0" fillId="3" borderId="31" applyAlignment="1" pivotButton="0" quotePrefix="0" xfId="0">
      <alignment horizontal="left" vertical="top" wrapText="1"/>
    </xf>
    <xf numFmtId="0" fontId="8" fillId="3" borderId="2" applyAlignment="1" pivotButton="0" quotePrefix="0" xfId="0">
      <alignment horizontal="left" vertical="top" wrapText="1"/>
    </xf>
    <xf numFmtId="0" fontId="8" fillId="3" borderId="3" applyAlignment="1" pivotButton="0" quotePrefix="0" xfId="0">
      <alignment horizontal="left" vertical="top" wrapText="1"/>
    </xf>
    <xf numFmtId="0" fontId="12" fillId="0" borderId="77" applyAlignment="1" pivotButton="0" quotePrefix="0" xfId="0">
      <alignment horizontal="left" vertical="top" wrapText="1"/>
    </xf>
    <xf numFmtId="0" fontId="12" fillId="0" borderId="78" applyAlignment="1" pivotButton="0" quotePrefix="0" xfId="0">
      <alignment horizontal="left" vertical="top" wrapText="1"/>
    </xf>
    <xf numFmtId="0" fontId="12" fillId="0" borderId="78" applyAlignment="1" pivotButton="0" quotePrefix="0" xfId="0">
      <alignment horizontal="left" vertical="top"/>
    </xf>
    <xf numFmtId="0" fontId="12" fillId="0" borderId="79" applyAlignment="1" pivotButton="0" quotePrefix="0" xfId="0">
      <alignment horizontal="left" vertical="top"/>
    </xf>
    <xf numFmtId="0" fontId="12" fillId="0" borderId="56" applyAlignment="1" pivotButton="0" quotePrefix="0" xfId="0">
      <alignment horizontal="left" vertical="top" wrapText="1"/>
    </xf>
    <xf numFmtId="0" fontId="12" fillId="0" borderId="57" applyAlignment="1" pivotButton="0" quotePrefix="0" xfId="0">
      <alignment horizontal="left" vertical="top" wrapText="1"/>
    </xf>
    <xf numFmtId="0" fontId="12" fillId="0" borderId="57" applyAlignment="1" pivotButton="0" quotePrefix="0" xfId="0">
      <alignment horizontal="left" vertical="top"/>
    </xf>
    <xf numFmtId="0" fontId="12" fillId="0" borderId="58" applyAlignment="1" pivotButton="0" quotePrefix="0" xfId="0">
      <alignment horizontal="left" vertical="top"/>
    </xf>
    <xf numFmtId="0" fontId="7" fillId="0" borderId="4" applyAlignment="1" pivotButton="0" quotePrefix="0" xfId="0">
      <alignment horizontal="left" vertical="center" wrapText="1"/>
    </xf>
    <xf numFmtId="0" fontId="7" fillId="0" borderId="7" applyAlignment="1" pivotButton="0" quotePrefix="0" xfId="0">
      <alignment horizontal="left" vertical="center" wrapText="1"/>
    </xf>
    <xf numFmtId="0" fontId="12" fillId="0" borderId="16" applyAlignment="1" pivotButton="0" quotePrefix="0" xfId="0">
      <alignment horizontal="left" vertical="top" wrapText="1"/>
    </xf>
    <xf numFmtId="0" fontId="12" fillId="0" borderId="68" applyAlignment="1" pivotButton="0" quotePrefix="0" xfId="0">
      <alignment horizontal="left" vertical="top" wrapText="1"/>
    </xf>
    <xf numFmtId="0" fontId="12" fillId="0" borderId="68" applyAlignment="1" pivotButton="0" quotePrefix="0" xfId="0">
      <alignment horizontal="left" vertical="top"/>
    </xf>
    <xf numFmtId="0" fontId="12" fillId="0" borderId="17" applyAlignment="1" pivotButton="0" quotePrefix="0" xfId="0">
      <alignment horizontal="left" vertical="top"/>
    </xf>
    <xf numFmtId="0" fontId="12" fillId="0" borderId="2" applyAlignment="1" pivotButton="0" quotePrefix="0" xfId="0">
      <alignment horizontal="left" vertical="top" wrapText="1"/>
    </xf>
    <xf numFmtId="0" fontId="12" fillId="0" borderId="3" applyAlignment="1" pivotButton="0" quotePrefix="0" xfId="0">
      <alignment horizontal="left" vertical="top" wrapText="1"/>
    </xf>
    <xf numFmtId="0" fontId="12" fillId="0" borderId="3" applyAlignment="1" pivotButton="0" quotePrefix="0" xfId="0">
      <alignment horizontal="left" vertical="top"/>
    </xf>
    <xf numFmtId="0" fontId="12" fillId="0" borderId="9" applyAlignment="1" pivotButton="0" quotePrefix="0" xfId="0">
      <alignment horizontal="left" vertical="top"/>
    </xf>
    <xf numFmtId="0" fontId="12" fillId="0" borderId="71" applyAlignment="1" pivotButton="0" quotePrefix="0" xfId="0">
      <alignment horizontal="left" vertical="top" wrapText="1"/>
    </xf>
    <xf numFmtId="0" fontId="12" fillId="0" borderId="72" applyAlignment="1" pivotButton="0" quotePrefix="0" xfId="0">
      <alignment horizontal="left" vertical="top" wrapText="1"/>
    </xf>
    <xf numFmtId="0" fontId="12" fillId="0" borderId="72" applyAlignment="1" pivotButton="0" quotePrefix="0" xfId="0">
      <alignment horizontal="left" vertical="top"/>
    </xf>
    <xf numFmtId="0" fontId="12" fillId="0" borderId="73" applyAlignment="1" pivotButton="0" quotePrefix="0" xfId="0">
      <alignment horizontal="left" vertical="top"/>
    </xf>
    <xf numFmtId="0" fontId="12" fillId="0" borderId="74" applyAlignment="1" pivotButton="0" quotePrefix="0" xfId="0">
      <alignment horizontal="left" vertical="top" wrapText="1"/>
    </xf>
    <xf numFmtId="0" fontId="12" fillId="0" borderId="75" applyAlignment="1" pivotButton="0" quotePrefix="0" xfId="0">
      <alignment horizontal="left" vertical="top" wrapText="1"/>
    </xf>
    <xf numFmtId="0" fontId="12" fillId="0" borderId="75" applyAlignment="1" pivotButton="0" quotePrefix="0" xfId="0">
      <alignment horizontal="left" vertical="top"/>
    </xf>
    <xf numFmtId="0" fontId="12" fillId="0" borderId="76" applyAlignment="1" pivotButton="0" quotePrefix="0" xfId="0">
      <alignment horizontal="left" vertical="top"/>
    </xf>
    <xf numFmtId="0" fontId="22" fillId="0" borderId="0" applyAlignment="1" pivotButton="0" quotePrefix="0" xfId="0">
      <alignment vertical="center"/>
    </xf>
    <xf numFmtId="0" fontId="22" fillId="0" borderId="16" applyAlignment="1" pivotButton="0" quotePrefix="0" xfId="0">
      <alignment vertical="center"/>
    </xf>
    <xf numFmtId="0" fontId="22" fillId="3" borderId="1" applyAlignment="1" pivotButton="0" quotePrefix="0" xfId="0">
      <alignment horizontal="center" vertical="center" wrapText="1"/>
    </xf>
    <xf numFmtId="14" fontId="8" fillId="3" borderId="22" applyAlignment="1" pivotButton="0" quotePrefix="0" xfId="0">
      <alignment horizontal="center" vertical="center"/>
    </xf>
    <xf numFmtId="14" fontId="8" fillId="3" borderId="23" applyAlignment="1" pivotButton="0" quotePrefix="0" xfId="0">
      <alignment horizontal="center" vertical="center"/>
    </xf>
    <xf numFmtId="14" fontId="8" fillId="3" borderId="65" applyAlignment="1" pivotButton="0" quotePrefix="1" xfId="0">
      <alignment horizontal="center" vertical="center"/>
    </xf>
    <xf numFmtId="0" fontId="9" fillId="0" borderId="5" applyAlignment="1" pivotButton="0" quotePrefix="0" xfId="0">
      <alignment vertical="center"/>
    </xf>
    <xf numFmtId="0" fontId="8" fillId="3" borderId="5" applyAlignment="1" pivotButton="0" quotePrefix="0" xfId="0">
      <alignment horizontal="center" vertical="center"/>
    </xf>
    <xf numFmtId="0" fontId="9" fillId="0" borderId="5" applyAlignment="1" pivotButton="0" quotePrefix="0" xfId="0">
      <alignment vertical="center" wrapText="1"/>
    </xf>
    <xf numFmtId="0" fontId="8" fillId="5" borderId="5" applyAlignment="1" pivotButton="0" quotePrefix="0" xfId="0">
      <alignment horizontal="center" vertical="center" wrapText="1"/>
    </xf>
    <xf numFmtId="0" fontId="9" fillId="0" borderId="1" applyAlignment="1" pivotButton="0" quotePrefix="0" xfId="0">
      <alignment vertical="center" wrapText="1"/>
    </xf>
    <xf numFmtId="0" fontId="8" fillId="5" borderId="1" applyAlignment="1" pivotButton="0" quotePrefix="0" xfId="0">
      <alignment horizontal="center" vertical="center" wrapText="1"/>
    </xf>
    <xf numFmtId="0" fontId="8" fillId="5" borderId="6" applyAlignment="1" pivotButton="0" quotePrefix="0" xfId="0">
      <alignment horizontal="center" vertical="center" wrapText="1"/>
    </xf>
    <xf numFmtId="0" fontId="9" fillId="0" borderId="4" applyAlignment="1" pivotButton="0" quotePrefix="0" xfId="0">
      <alignment vertical="center"/>
    </xf>
    <xf numFmtId="0" fontId="20" fillId="0" borderId="7" applyAlignment="1" pivotButton="0" quotePrefix="0" xfId="0">
      <alignment vertical="center"/>
    </xf>
    <xf numFmtId="0" fontId="20" fillId="0" borderId="10" applyAlignment="1" pivotButton="0" quotePrefix="0" xfId="0">
      <alignment vertical="center"/>
    </xf>
    <xf numFmtId="0" fontId="20" fillId="0" borderId="27" applyAlignment="1" pivotButton="0" quotePrefix="0" xfId="0">
      <alignment horizontal="left" vertical="center" wrapText="1"/>
    </xf>
    <xf numFmtId="0" fontId="20" fillId="0" borderId="33" applyAlignment="1" pivotButton="0" quotePrefix="0" xfId="0">
      <alignment horizontal="left" vertical="center" wrapText="1"/>
    </xf>
    <xf numFmtId="0" fontId="20" fillId="0" borderId="13" applyAlignment="1" pivotButton="0" quotePrefix="0" xfId="0">
      <alignment horizontal="left" vertical="center" wrapText="1"/>
    </xf>
    <xf numFmtId="0" fontId="9" fillId="0" borderId="7" applyAlignment="1" pivotButton="0" quotePrefix="0" xfId="0">
      <alignment vertical="center" wrapText="1"/>
    </xf>
    <xf numFmtId="0" fontId="24" fillId="0" borderId="7" applyAlignment="1" pivotButton="0" quotePrefix="0" xfId="0">
      <alignment vertical="center" wrapText="1"/>
    </xf>
    <xf numFmtId="0" fontId="18" fillId="0" borderId="45" applyAlignment="1" pivotButton="0" quotePrefix="0" xfId="0">
      <alignment horizontal="left" vertical="center" wrapText="1"/>
    </xf>
    <xf numFmtId="0" fontId="18" fillId="0" borderId="13" applyAlignment="1" pivotButton="0" quotePrefix="0" xfId="0">
      <alignment horizontal="left" vertical="center" wrapText="1"/>
    </xf>
    <xf numFmtId="0" fontId="20" fillId="0" borderId="7" applyAlignment="1" pivotButton="0" quotePrefix="0" xfId="0">
      <alignment vertical="center" wrapText="1"/>
    </xf>
    <xf numFmtId="0" fontId="20" fillId="0" borderId="45" applyAlignment="1" pivotButton="0" quotePrefix="0" xfId="0">
      <alignment vertical="center" wrapText="1"/>
    </xf>
    <xf numFmtId="0" fontId="20" fillId="0" borderId="0" applyAlignment="1" pivotButton="0" quotePrefix="0" xfId="0">
      <alignment vertical="center"/>
    </xf>
    <xf numFmtId="0" fontId="18" fillId="0" borderId="0" applyAlignment="1" pivotButton="0" quotePrefix="0" xfId="0">
      <alignment vertical="center"/>
    </xf>
    <xf numFmtId="0" fontId="8" fillId="3" borderId="19" applyAlignment="1" pivotButton="0" quotePrefix="0" xfId="0">
      <alignment horizontal="left" vertical="center"/>
    </xf>
    <xf numFmtId="0" fontId="8" fillId="5" borderId="2" applyAlignment="1" pivotButton="0" quotePrefix="0" xfId="0">
      <alignment vertical="center" wrapText="1"/>
    </xf>
    <xf numFmtId="0" fontId="9" fillId="0" borderId="1" applyAlignment="1" pivotButton="0" quotePrefix="0" xfId="0">
      <alignment vertical="center"/>
    </xf>
    <xf numFmtId="0" fontId="9" fillId="0" borderId="20" applyAlignment="1" pivotButton="0" quotePrefix="0" xfId="0">
      <alignment horizontal="center" vertical="center" wrapText="1"/>
    </xf>
    <xf numFmtId="0" fontId="8" fillId="3" borderId="2" applyAlignment="1" pivotButton="0" quotePrefix="0" xfId="0">
      <alignment horizontal="center" vertical="center"/>
    </xf>
    <xf numFmtId="0" fontId="8" fillId="3" borderId="9" applyAlignment="1" pivotButton="0" quotePrefix="0" xfId="0">
      <alignment horizontal="center" vertical="center"/>
    </xf>
    <xf numFmtId="164" fontId="8" fillId="3" borderId="12" applyAlignment="1" pivotButton="0" quotePrefix="0" xfId="0">
      <alignment vertical="center"/>
    </xf>
    <xf numFmtId="164" fontId="8" fillId="3" borderId="68" applyAlignment="1" pivotButton="0" quotePrefix="0" xfId="0">
      <alignment horizontal="center" vertical="center"/>
    </xf>
    <xf numFmtId="164" fontId="8" fillId="3" borderId="17" applyAlignment="1" pivotButton="0" quotePrefix="0" xfId="0">
      <alignment horizontal="center" vertical="center"/>
    </xf>
    <xf numFmtId="164" fontId="8" fillId="3" borderId="32" applyAlignment="1" pivotButton="0" quotePrefix="0" xfId="0">
      <alignment horizontal="center" vertical="center"/>
    </xf>
    <xf numFmtId="164" fontId="25" fillId="0" borderId="15" applyAlignment="1" pivotButton="0" quotePrefix="0" xfId="0">
      <alignment horizontal="center" vertical="center" wrapText="1"/>
    </xf>
    <xf numFmtId="164" fontId="23" fillId="2" borderId="14" applyAlignment="1" pivotButton="0" quotePrefix="0" xfId="0">
      <alignment horizontal="center" vertical="center" wrapText="1"/>
    </xf>
    <xf numFmtId="0" fontId="8" fillId="5" borderId="9" applyAlignment="1" pivotButton="0" quotePrefix="0" xfId="0">
      <alignment horizontal="center" vertical="center"/>
    </xf>
    <xf numFmtId="164" fontId="9" fillId="0" borderId="8" applyAlignment="1" pivotButton="0" quotePrefix="0" xfId="0">
      <alignment vertical="center"/>
    </xf>
    <xf numFmtId="0" fontId="26" fillId="3" borderId="3" applyAlignment="1" pivotButton="0" quotePrefix="0" xfId="0">
      <alignment vertical="center" wrapText="1"/>
    </xf>
    <xf numFmtId="0" fontId="26" fillId="3" borderId="19" applyAlignment="1" pivotButton="0" quotePrefix="0" xfId="0">
      <alignment vertical="center" wrapText="1"/>
    </xf>
    <xf numFmtId="0" fontId="9" fillId="0" borderId="16" applyAlignment="1" pivotButton="0" quotePrefix="0" xfId="0">
      <alignment horizontal="center" vertical="center"/>
    </xf>
    <xf numFmtId="0" fontId="9" fillId="0" borderId="68" applyAlignment="1" pivotButton="0" quotePrefix="0" xfId="0">
      <alignment horizontal="center" vertical="center"/>
    </xf>
    <xf numFmtId="0" fontId="9" fillId="0" borderId="17" applyAlignment="1" pivotButton="0" quotePrefix="0" xfId="0">
      <alignment horizontal="center" vertical="center"/>
    </xf>
    <xf numFmtId="0" fontId="9" fillId="0" borderId="67" applyAlignment="1" pivotButton="0" quotePrefix="0" xfId="0">
      <alignment horizontal="center" vertical="top" wrapText="1"/>
    </xf>
    <xf numFmtId="0" fontId="9" fillId="0" borderId="68" applyAlignment="1" pivotButton="0" quotePrefix="0" xfId="0">
      <alignment horizontal="center" vertical="top" wrapText="1"/>
    </xf>
    <xf numFmtId="0" fontId="9" fillId="0" borderId="17" applyAlignment="1" pivotButton="0" quotePrefix="0" xfId="0">
      <alignment horizontal="center" vertical="top" wrapText="1"/>
    </xf>
    <xf numFmtId="0" fontId="18" fillId="0" borderId="1" applyAlignment="1" pivotButton="0" quotePrefix="0" xfId="0">
      <alignment vertical="center" wrapText="1"/>
    </xf>
    <xf numFmtId="166" fontId="9" fillId="3" borderId="1" applyAlignment="1" pivotButton="0" quotePrefix="0" xfId="0">
      <alignment horizontal="center" vertical="center"/>
    </xf>
    <xf numFmtId="164" fontId="8" fillId="0" borderId="2" applyAlignment="1" pivotButton="0" quotePrefix="0" xfId="0">
      <alignment vertical="center" wrapText="1"/>
    </xf>
    <xf numFmtId="0" fontId="8" fillId="3" borderId="11" applyAlignment="1" pivotButton="0" quotePrefix="0" xfId="0">
      <alignment horizontal="left" vertical="center"/>
    </xf>
    <xf numFmtId="0" fontId="8" fillId="3" borderId="44" applyAlignment="1" pivotButton="0" quotePrefix="0" xfId="0">
      <alignment horizontal="left" vertical="center"/>
    </xf>
    <xf numFmtId="0" fontId="8" fillId="3" borderId="12" applyAlignment="1" pivotButton="0" quotePrefix="0" xfId="0">
      <alignment horizontal="left" vertical="center"/>
    </xf>
    <xf numFmtId="0" fontId="0" fillId="0" borderId="0" pivotButton="0" quotePrefix="0" xfId="0"/>
    <xf numFmtId="0" fontId="10" fillId="0" borderId="81" applyAlignment="1" pivotButton="0" quotePrefix="0" xfId="0">
      <alignment horizontal="center" vertical="center"/>
    </xf>
    <xf numFmtId="0" fontId="0" fillId="0" borderId="36" pivotButton="0" quotePrefix="0" xfId="0"/>
    <xf numFmtId="0" fontId="0" fillId="0" borderId="25" pivotButton="0" quotePrefix="0" xfId="0"/>
    <xf numFmtId="0" fontId="8" fillId="3" borderId="1" applyAlignment="1" pivotButton="0" quotePrefix="0" xfId="0">
      <alignment horizontal="left" vertical="center" wrapText="1"/>
    </xf>
    <xf numFmtId="0" fontId="0" fillId="0" borderId="3" pivotButton="0" quotePrefix="0" xfId="0"/>
    <xf numFmtId="0" fontId="0" fillId="0" borderId="19" pivotButton="0" quotePrefix="0" xfId="0"/>
    <xf numFmtId="0" fontId="0" fillId="0" borderId="9" pivotButton="0" quotePrefix="0" xfId="0"/>
    <xf numFmtId="0" fontId="21" fillId="3" borderId="20" applyAlignment="1" pivotButton="0" quotePrefix="0" xfId="0">
      <alignment horizontal="left" vertical="center" wrapText="1"/>
    </xf>
    <xf numFmtId="0" fontId="0" fillId="0" borderId="44" pivotButton="0" quotePrefix="0" xfId="0"/>
    <xf numFmtId="0" fontId="0" fillId="0" borderId="21" pivotButton="0" quotePrefix="0" xfId="0"/>
    <xf numFmtId="0" fontId="20" fillId="0" borderId="4" applyAlignment="1" pivotButton="0" quotePrefix="0" xfId="0">
      <alignment horizontal="left" vertical="center" wrapText="1"/>
    </xf>
    <xf numFmtId="0" fontId="8" fillId="3" borderId="5"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7"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31" pivotButton="0" quotePrefix="0" xfId="0"/>
    <xf numFmtId="0" fontId="21" fillId="3" borderId="8" applyAlignment="1" pivotButton="0" quotePrefix="0" xfId="0">
      <alignment horizontal="left" vertical="center" wrapText="1"/>
    </xf>
    <xf numFmtId="0" fontId="18" fillId="0" borderId="7" applyAlignment="1" pivotButton="0" quotePrefix="0" xfId="0">
      <alignment horizontal="left" vertical="center" wrapText="1"/>
    </xf>
    <xf numFmtId="0" fontId="21" fillId="3" borderId="63" applyAlignment="1" pivotButton="0" quotePrefix="0" xfId="0">
      <alignment horizontal="left" vertical="center" wrapText="1"/>
    </xf>
    <xf numFmtId="166" fontId="9" fillId="3" borderId="1" applyAlignment="1" pivotButton="0" quotePrefix="0" xfId="0">
      <alignment horizontal="center" vertical="center"/>
    </xf>
    <xf numFmtId="0" fontId="8" fillId="3" borderId="83" applyAlignment="1" pivotButton="0" quotePrefix="0" xfId="0">
      <alignment horizontal="left" vertical="center"/>
    </xf>
    <xf numFmtId="0" fontId="0" fillId="0" borderId="12" pivotButton="0" quotePrefix="0" xfId="0"/>
    <xf numFmtId="0" fontId="14" fillId="0" borderId="24" applyAlignment="1" pivotButton="0" quotePrefix="0" xfId="0">
      <alignment horizontal="center" vertical="center" wrapText="1"/>
    </xf>
    <xf numFmtId="0" fontId="9" fillId="0" borderId="6" applyAlignment="1" pivotButton="0" quotePrefix="0" xfId="0">
      <alignment horizontal="center" vertical="center"/>
    </xf>
    <xf numFmtId="0" fontId="0" fillId="0" borderId="68" pivotButton="0" quotePrefix="0" xfId="0"/>
    <xf numFmtId="0" fontId="9" fillId="0" borderId="84" applyAlignment="1" pivotButton="0" quotePrefix="0" xfId="0">
      <alignment horizontal="center" vertical="top" wrapText="1"/>
    </xf>
    <xf numFmtId="0" fontId="0" fillId="0" borderId="38" pivotButton="0" quotePrefix="0" xfId="0"/>
    <xf numFmtId="0" fontId="12" fillId="0" borderId="64" applyAlignment="1" pivotButton="0" quotePrefix="0" xfId="0">
      <alignment horizontal="left" vertical="top" wrapText="1"/>
    </xf>
    <xf numFmtId="0" fontId="0" fillId="0" borderId="54" pivotButton="0" quotePrefix="0" xfId="0"/>
    <xf numFmtId="0" fontId="12" fillId="0" borderId="85" applyAlignment="1" pivotButton="0" quotePrefix="0" xfId="0">
      <alignment horizontal="left" vertical="top" wrapText="1"/>
    </xf>
    <xf numFmtId="0" fontId="0" fillId="0" borderId="40" pivotButton="0" quotePrefix="0" xfId="0"/>
    <xf numFmtId="0" fontId="0" fillId="0" borderId="41" pivotButton="0" quotePrefix="0" xfId="0"/>
    <xf numFmtId="0" fontId="12" fillId="0" borderId="86" applyAlignment="1" pivotButton="0" quotePrefix="0" xfId="0">
      <alignment horizontal="left" vertical="top" wrapText="1"/>
    </xf>
    <xf numFmtId="0" fontId="0" fillId="0" borderId="60" pivotButton="0" quotePrefix="0" xfId="0"/>
    <xf numFmtId="0" fontId="0" fillId="0" borderId="61" pivotButton="0" quotePrefix="0" xfId="0"/>
    <xf numFmtId="0" fontId="0" fillId="0" borderId="50" pivotButton="0" quotePrefix="0" xfId="0"/>
    <xf numFmtId="0" fontId="13" fillId="0" borderId="87" applyAlignment="1" pivotButton="0" quotePrefix="0" xfId="0">
      <alignment horizontal="left" vertical="top" wrapText="1"/>
    </xf>
    <xf numFmtId="0" fontId="0" fillId="0" borderId="57" pivotButton="0" quotePrefix="0" xfId="0"/>
    <xf numFmtId="0" fontId="0" fillId="0" borderId="58" pivotButton="0" quotePrefix="0" xfId="0"/>
    <xf numFmtId="0" fontId="3" fillId="3" borderId="1" applyAlignment="1" pivotButton="0" quotePrefix="0" xfId="0">
      <alignment horizontal="left" vertical="center" wrapText="1"/>
    </xf>
    <xf numFmtId="0" fontId="3" fillId="3" borderId="8" applyAlignment="1" pivotButton="0" quotePrefix="0" xfId="0">
      <alignment horizontal="center" vertical="center"/>
    </xf>
    <xf numFmtId="0" fontId="3" fillId="3" borderId="20" applyAlignment="1" pivotButton="0" quotePrefix="0" xfId="0">
      <alignment horizontal="left" vertical="center" wrapText="1"/>
    </xf>
    <xf numFmtId="0" fontId="3" fillId="3" borderId="5" applyAlignment="1" pivotButton="0" quotePrefix="0" xfId="0">
      <alignment horizontal="left" vertical="top" wrapText="1"/>
    </xf>
    <xf numFmtId="164" fontId="10" fillId="0" borderId="6" applyAlignment="1" pivotButton="0" quotePrefix="0" xfId="0">
      <alignment horizontal="center" vertical="center"/>
    </xf>
    <xf numFmtId="0" fontId="8" fillId="3" borderId="8" applyAlignment="1" pivotButton="0" quotePrefix="0" xfId="0">
      <alignment horizontal="left" vertical="top"/>
    </xf>
    <xf numFmtId="0" fontId="3" fillId="3" borderId="1" applyAlignment="1" pivotButton="0" quotePrefix="0" xfId="0">
      <alignment horizontal="left" vertical="top" wrapText="1"/>
    </xf>
    <xf numFmtId="0" fontId="0" fillId="0" borderId="42" pivotButton="0" quotePrefix="0" xfId="0"/>
    <xf numFmtId="0" fontId="0" fillId="0" borderId="43" pivotButton="0" quotePrefix="0" xfId="0"/>
    <xf numFmtId="166" fontId="6" fillId="3" borderId="1" applyAlignment="1" pivotButton="0" quotePrefix="0" xfId="0">
      <alignment horizontal="center" vertical="center"/>
    </xf>
    <xf numFmtId="0" fontId="3" fillId="3" borderId="83" applyAlignment="1" pivotButton="0" quotePrefix="0" xfId="0">
      <alignment horizontal="left" vertical="top"/>
    </xf>
    <xf numFmtId="0" fontId="6" fillId="0" borderId="6" applyAlignment="1" pivotButton="0" quotePrefix="0" xfId="0">
      <alignment horizontal="center" vertical="center"/>
    </xf>
    <xf numFmtId="0" fontId="6" fillId="0" borderId="84" applyAlignment="1" pivotButton="0" quotePrefix="0" xfId="0">
      <alignment horizontal="center" vertical="top" wrapText="1"/>
    </xf>
    <xf numFmtId="0" fontId="8" fillId="3" borderId="8" applyAlignment="1" pivotButton="0" quotePrefix="0" xfId="0">
      <alignment horizontal="left" vertical="top" wrapText="1"/>
    </xf>
    <xf numFmtId="0" fontId="12" fillId="0" borderId="6" applyAlignment="1" pivotButton="0" quotePrefix="0" xfId="0">
      <alignment horizontal="left" vertical="top" wrapText="1"/>
    </xf>
    <xf numFmtId="0" fontId="12" fillId="0" borderId="8" applyAlignment="1" pivotButton="0" quotePrefix="0" xfId="0">
      <alignment horizontal="left" vertical="top" wrapText="1"/>
    </xf>
    <xf numFmtId="0" fontId="12" fillId="0" borderId="91" applyAlignment="1" pivotButton="0" quotePrefix="0" xfId="0">
      <alignment horizontal="left" vertical="top" wrapText="1"/>
    </xf>
    <xf numFmtId="0" fontId="0" fillId="0" borderId="72" pivotButton="0" quotePrefix="0" xfId="0"/>
    <xf numFmtId="0" fontId="0" fillId="0" borderId="73" pivotButton="0" quotePrefix="0" xfId="0"/>
    <xf numFmtId="0" fontId="12" fillId="0" borderId="92" applyAlignment="1" pivotButton="0" quotePrefix="0" xfId="0">
      <alignment horizontal="left" vertical="top" wrapText="1"/>
    </xf>
    <xf numFmtId="0" fontId="0" fillId="0" borderId="75" pivotButton="0" quotePrefix="0" xfId="0"/>
    <xf numFmtId="0" fontId="0" fillId="0" borderId="76" pivotButton="0" quotePrefix="0" xfId="0"/>
    <xf numFmtId="0" fontId="12" fillId="0" borderId="87" applyAlignment="1" pivotButton="0" quotePrefix="0" xfId="0">
      <alignment horizontal="left" vertical="top" wrapText="1"/>
    </xf>
    <xf numFmtId="0" fontId="12" fillId="0" borderId="90" applyAlignment="1" pivotButton="0" quotePrefix="0" xfId="0">
      <alignment horizontal="left" vertical="top" wrapText="1"/>
    </xf>
    <xf numFmtId="0" fontId="0" fillId="0" borderId="78" pivotButton="0" quotePrefix="0" xfId="0"/>
    <xf numFmtId="0" fontId="0" fillId="0" borderId="79" pivotButton="0" quotePrefix="0" xfId="0"/>
    <xf numFmtId="165" fontId="3" fillId="0" borderId="0" applyAlignment="1" pivotButton="0" quotePrefix="0" xfId="0">
      <alignment vertical="center"/>
    </xf>
    <xf numFmtId="165" fontId="6" fillId="0" borderId="0" applyAlignment="1" pivotButton="0" quotePrefix="0" xfId="0">
      <alignment vertical="center"/>
    </xf>
    <xf numFmtId="165" fontId="6" fillId="0" borderId="0" applyAlignment="1" pivotButton="0" quotePrefix="0" xfId="0">
      <alignment horizontal="left" vertical="center"/>
    </xf>
    <xf numFmtId="165" fontId="6" fillId="0" borderId="0" applyAlignment="1" pivotButton="0" quotePrefix="0" xfId="0">
      <alignment horizontal="center" vertical="center"/>
    </xf>
    <xf numFmtId="165" fontId="3" fillId="0" borderId="0" applyAlignment="1" pivotButton="0" quotePrefix="0" xfId="0">
      <alignment horizontal="left" vertical="center"/>
    </xf>
    <xf numFmtId="165" fontId="3" fillId="0" borderId="0" applyAlignment="1" pivotButton="0" quotePrefix="0" xfId="0">
      <alignment horizontal="center" vertical="center"/>
    </xf>
  </cellXfs>
  <cellStyles count="4">
    <cellStyle name="Normal" xfId="0" builtinId="0"/>
    <cellStyle name="標準 2" xfId="1"/>
    <cellStyle name="標準 3" xfId="2"/>
    <cellStyle name="Separador de milhares [0]" xfId="3" builtinId="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a:solidFill>
            <a:srgbClr val="0000FF"/>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FF00"/>
    <outlinePr summaryBelow="1" summaryRight="1"/>
    <pageSetUpPr fitToPage="1"/>
  </sheetPr>
  <dimension ref="B1:T32"/>
  <sheetViews>
    <sheetView showGridLines="0" tabSelected="1" zoomScale="80" zoomScaleNormal="80" workbookViewId="0">
      <selection activeCell="L2" sqref="L2"/>
    </sheetView>
  </sheetViews>
  <sheetFormatPr baseColWidth="8" defaultColWidth="8.81640625" defaultRowHeight="15"/>
  <cols>
    <col width="2.1796875" customWidth="1" style="1" min="1" max="1"/>
    <col width="26.7265625" customWidth="1" style="1" min="2" max="2"/>
    <col width="18.54296875" customWidth="1" style="1" min="3" max="5"/>
    <col width="18.7265625" customWidth="1" style="1" min="6" max="6"/>
    <col width="17.26953125" customWidth="1" style="1" min="7" max="7"/>
    <col width="15.81640625" customWidth="1" style="1" min="8" max="8"/>
    <col width="18.81640625" customWidth="1" style="1" min="9" max="9"/>
    <col width="3.1796875" customWidth="1" style="1" min="10" max="10"/>
    <col width="8.81640625" customWidth="1" style="1" min="11" max="12"/>
    <col width="11.54296875" bestFit="1" customWidth="1" style="1" min="13" max="13"/>
    <col width="8.81640625" customWidth="1" style="1" min="14" max="16384"/>
  </cols>
  <sheetData>
    <row r="1" ht="20" customHeight="1" s="260" thickBot="1">
      <c r="G1" s="261" t="inlineStr">
        <is>
          <t>Division</t>
        </is>
      </c>
      <c r="H1" s="262" t="n"/>
      <c r="I1" s="263" t="n"/>
      <c r="K1" s="2" t="n"/>
      <c r="L1" s="2" t="n"/>
      <c r="M1" s="2" t="n"/>
    </row>
    <row r="2" ht="30.5" customHeight="1" s="260" thickBot="1">
      <c r="B2" s="3" t="inlineStr">
        <is>
          <t>Facility Division: cross-check sheet</t>
        </is>
      </c>
      <c r="G2" s="127" t="inlineStr">
        <is>
          <t>Approval</t>
        </is>
      </c>
      <c r="H2" s="39" t="inlineStr">
        <is>
          <t>Checked</t>
        </is>
      </c>
      <c r="I2" s="40" t="inlineStr">
        <is>
          <t>In-Charge</t>
        </is>
      </c>
      <c r="K2" s="2" t="n"/>
      <c r="L2" s="2" t="n"/>
      <c r="M2" s="2" t="n"/>
    </row>
    <row r="3" ht="30" customHeight="1" s="260">
      <c r="B3" s="3" t="n"/>
      <c r="G3" s="85" t="inlineStr">
        <is>
          <t>Joerg
Hoffmann</t>
        </is>
      </c>
      <c r="H3" s="84" t="inlineStr">
        <is>
          <t>Alexandre
Ogane</t>
        </is>
      </c>
      <c r="I3" s="86" t="inlineStr">
        <is>
          <t>Evandro
 Farias</t>
        </is>
      </c>
      <c r="K3" s="66" t="n"/>
      <c r="L3" s="66" t="n"/>
      <c r="M3" s="2" t="n"/>
    </row>
    <row r="4" ht="20" customHeight="1" s="260" thickBot="1">
      <c r="B4" s="230" t="inlineStr">
        <is>
          <t>第80期</t>
        </is>
      </c>
      <c r="C4" s="231" t="inlineStr">
        <is>
          <t>受付日 : 19/06/26</t>
        </is>
      </c>
      <c r="D4" s="205" t="n"/>
      <c r="E4" s="205" t="n"/>
      <c r="F4" s="205" t="n"/>
      <c r="G4" s="208" t="n">
        <v>46192</v>
      </c>
      <c r="H4" s="209" t="n">
        <v>46183</v>
      </c>
      <c r="I4" s="210" t="n">
        <v>46175</v>
      </c>
      <c r="K4" s="2" t="n"/>
      <c r="L4" s="2" t="n"/>
      <c r="M4" s="2" t="n"/>
    </row>
    <row r="5" ht="43.4" customHeight="1" s="260">
      <c r="B5" s="218" t="inlineStr">
        <is>
          <t>Entry No.</t>
        </is>
      </c>
      <c r="C5" s="206" t="n"/>
      <c r="D5" s="211" t="inlineStr">
        <is>
          <t>Application No.</t>
        </is>
      </c>
      <c r="E5" s="212" t="inlineStr">
        <is>
          <t>S32-26027</t>
        </is>
      </c>
      <c r="F5" s="213" t="inlineStr">
        <is>
          <t>Purpose category
(Finance)</t>
        </is>
      </c>
      <c r="G5" s="214" t="inlineStr">
        <is>
          <t xml:space="preserve">Renewal  </t>
        </is>
      </c>
      <c r="H5" s="213" t="inlineStr">
        <is>
          <t>Equipment category
(Finance)</t>
        </is>
      </c>
      <c r="I5" s="217" t="inlineStr">
        <is>
          <t xml:space="preserve">Machinery and Equipment    </t>
        </is>
      </c>
      <c r="K5" s="2" t="n"/>
      <c r="L5" s="2" t="n"/>
      <c r="M5" s="2" t="n"/>
    </row>
    <row r="6" ht="43.4" customHeight="1" s="260">
      <c r="B6" s="219" t="inlineStr">
        <is>
          <t>Department name</t>
        </is>
      </c>
      <c r="C6" s="233" t="inlineStr">
        <is>
          <t>AS Business Division</t>
        </is>
      </c>
      <c r="D6" s="215" t="inlineStr">
        <is>
          <t>Eqiupment Plan No.</t>
        </is>
      </c>
      <c r="E6" s="207" t="n"/>
      <c r="F6" s="215" t="inlineStr">
        <is>
          <t>Equipment category1
(Facility)</t>
        </is>
      </c>
      <c r="G6" s="216" t="inlineStr">
        <is>
          <t xml:space="preserve">Maintenance and Repair    </t>
        </is>
      </c>
      <c r="H6" s="215" t="inlineStr">
        <is>
          <t>Equipment category2
(Facility)</t>
        </is>
      </c>
      <c r="I6" s="76" t="inlineStr">
        <is>
          <t>Facility-Related</t>
        </is>
      </c>
      <c r="K6" s="2" t="n"/>
      <c r="L6" s="2" t="n"/>
      <c r="M6" s="2" t="n"/>
    </row>
    <row r="7" ht="29.5" customHeight="1" s="260">
      <c r="B7" s="219" t="inlineStr">
        <is>
          <t>Office name</t>
        </is>
      </c>
      <c r="C7" s="264" t="inlineStr">
        <is>
          <t>Minebea AccessSolutions South America Ltda</t>
        </is>
      </c>
      <c r="D7" s="265" t="n"/>
      <c r="E7" s="265" t="n"/>
      <c r="F7" s="266" t="n"/>
      <c r="G7" s="234" t="inlineStr">
        <is>
          <t xml:space="preserve">  Requester</t>
        </is>
      </c>
      <c r="H7" s="60" t="inlineStr">
        <is>
          <t>Claudio Santos</t>
        </is>
      </c>
      <c r="I7" s="267" t="n"/>
      <c r="K7" s="2" t="n"/>
      <c r="L7" s="2" t="n"/>
      <c r="M7" s="2" t="n"/>
    </row>
    <row r="8" ht="51" customHeight="1" s="260" thickBot="1">
      <c r="B8" s="220" t="inlineStr">
        <is>
          <t>Proposal name</t>
        </is>
      </c>
      <c r="C8" s="268" t="inlineStr">
        <is>
          <t>Nitrogen Generation System</t>
        </is>
      </c>
      <c r="D8" s="269" t="n"/>
      <c r="E8" s="269" t="n"/>
      <c r="F8" s="270" t="n"/>
      <c r="G8" s="235" t="inlineStr">
        <is>
          <t>Applied amount
(KJPY)</t>
        </is>
      </c>
      <c r="H8" s="71" t="n">
        <v>8279</v>
      </c>
      <c r="I8" s="238" t="inlineStr">
        <is>
          <t>k JPY</t>
        </is>
      </c>
      <c r="K8" s="2" t="n"/>
      <c r="L8" s="2" t="n"/>
      <c r="M8" s="2" t="n"/>
    </row>
    <row r="9" ht="30" customHeight="1" s="260">
      <c r="B9" s="271" t="inlineStr">
        <is>
          <t>①
Reason/purpose</t>
        </is>
      </c>
      <c r="C9" s="272" t="inlineStr">
        <is>
          <t>Replace an old nitrogen generation system that has been operating since 2017 on the paint line, as it is no longer in working properly order and spare parts are unavailable for maintenance.</t>
        </is>
      </c>
      <c r="D9" s="273" t="n"/>
      <c r="E9" s="273" t="n"/>
      <c r="F9" s="273" t="n"/>
      <c r="G9" s="274" t="n"/>
      <c r="H9" s="240" t="inlineStr">
        <is>
          <t>within plan or outside plan</t>
        </is>
      </c>
      <c r="I9" s="275" t="n"/>
    </row>
    <row r="10" ht="30" customHeight="1" s="260">
      <c r="B10" s="276" t="n"/>
      <c r="C10" s="277" t="n"/>
      <c r="G10" s="278" t="n"/>
      <c r="H10" s="242" t="inlineStr">
        <is>
          <t>Planned amount(KJPY)</t>
        </is>
      </c>
      <c r="I10" s="241" t="n">
        <v>10000</v>
      </c>
    </row>
    <row r="11" ht="30" customHeight="1" s="260">
      <c r="B11" s="279" t="n"/>
      <c r="C11" s="280" t="n"/>
      <c r="D11" s="281" t="n"/>
      <c r="E11" s="281" t="n"/>
      <c r="F11" s="281" t="n"/>
      <c r="G11" s="282" t="n"/>
      <c r="H11" s="243" t="inlineStr">
        <is>
          <t>In not planeed</t>
        </is>
      </c>
      <c r="I11" s="241" t="n"/>
    </row>
    <row r="12" ht="42" customHeight="1" s="260">
      <c r="B12" s="224" t="inlineStr">
        <is>
          <t>② Equipment selection
(capacity, price, energy savings)</t>
        </is>
      </c>
      <c r="C12" s="283" t="inlineStr">
        <is>
          <t>GERADOR N2 – MEMBRANA - NGM35+ 230 IEC / 36m³/h @ 99,5%; / 230V / ≤ -40 °C</t>
        </is>
      </c>
      <c r="D12" s="265" t="n"/>
      <c r="E12" s="265" t="n"/>
      <c r="F12" s="265" t="n"/>
      <c r="G12" s="265" t="n"/>
      <c r="H12" s="265" t="n"/>
      <c r="I12" s="267" t="n"/>
    </row>
    <row r="13" ht="42.65" customHeight="1" s="260" thickBot="1">
      <c r="B13" s="225" t="inlineStr">
        <is>
          <t>③Energy saving effect</t>
        </is>
      </c>
      <c r="C13" s="264" t="inlineStr">
        <is>
          <t>Only reduction in ink consumption</t>
        </is>
      </c>
      <c r="D13" s="265" t="n"/>
      <c r="E13" s="265" t="n"/>
      <c r="F13" s="265" t="n"/>
      <c r="G13" s="266" t="n"/>
      <c r="H13" s="82" t="inlineStr">
        <is>
          <t>④Return Costs　terms</t>
        </is>
      </c>
      <c r="I13" s="60" t="inlineStr">
        <is>
          <t>1.9年</t>
        </is>
      </c>
    </row>
    <row r="14" ht="30" customHeight="1" s="260">
      <c r="B14" s="284" t="inlineStr">
        <is>
          <t>⑤Selection of supplier
(quality, cost, delivery, service)</t>
        </is>
      </c>
      <c r="C14" s="285" t="inlineStr">
        <is>
          <t>selected ATLAS COPCO as the supplier due to their competitive pricing, delivery and maintenance support</t>
        </is>
      </c>
      <c r="D14" s="273" t="n"/>
      <c r="E14" s="273" t="n"/>
      <c r="F14" s="273" t="n"/>
      <c r="G14" s="274" t="n"/>
      <c r="H14" s="82" t="inlineStr">
        <is>
          <t>⑥comparative quotation</t>
        </is>
      </c>
      <c r="I14" s="77" t="inlineStr">
        <is>
          <t>Yes</t>
        </is>
      </c>
    </row>
    <row r="15" ht="54.75" customHeight="1" s="260">
      <c r="B15" s="279" t="n"/>
      <c r="C15" s="277" t="n"/>
      <c r="G15" s="278" t="n"/>
      <c r="H15" s="82" t="inlineStr">
        <is>
          <t>⑦Ordering Method</t>
        </is>
      </c>
      <c r="I15" s="78" t="inlineStr">
        <is>
          <t>1 company</t>
        </is>
      </c>
    </row>
    <row r="16" ht="62.5" customHeight="1" s="260">
      <c r="B16" s="228" t="inlineStr">
        <is>
          <t>⑧Cost down</t>
        </is>
      </c>
      <c r="C16" s="138" t="inlineStr">
        <is>
          <t>Total cost reduction：188 K-JPY(▲2.2%)</t>
        </is>
      </c>
      <c r="D16" s="265" t="n"/>
      <c r="E16" s="265" t="n"/>
      <c r="F16" s="265" t="n"/>
      <c r="G16" s="265" t="n"/>
      <c r="H16" s="82" t="inlineStr">
        <is>
          <t>⑨Use of Minebea Mitsumi Products</t>
        </is>
      </c>
      <c r="I16" s="244" t="inlineStr">
        <is>
          <t>No</t>
        </is>
      </c>
    </row>
    <row r="17" ht="39" customHeight="1" s="260">
      <c r="B17" s="228" t="inlineStr">
        <is>
          <t>⑩Payment terms</t>
        </is>
      </c>
      <c r="C17" s="264" t="inlineStr">
        <is>
          <t>100% 30 days after equipment arrived at Guarulhos by cash</t>
        </is>
      </c>
      <c r="D17" s="265" t="n"/>
      <c r="E17" s="266" t="n"/>
      <c r="F17" s="254" t="inlineStr">
        <is>
          <t>⑪Depreciation years</t>
        </is>
      </c>
      <c r="G17" s="286" t="n">
        <v>8</v>
      </c>
      <c r="H17" s="256">
        <f>H8/G17</f>
        <v/>
      </c>
      <c r="I17" s="245" t="inlineStr">
        <is>
          <t>k　JPY/year</t>
        </is>
      </c>
    </row>
    <row r="18" ht="31.75" customHeight="1" s="260" thickBot="1">
      <c r="B18" s="229" t="inlineStr">
        <is>
          <t>⑫Work shedule</t>
        </is>
      </c>
      <c r="C18" s="287" t="inlineStr">
        <is>
          <t>Purchase order: Aug/26; Delivery: Nov/26; Release and set up: Dec/26.</t>
        </is>
      </c>
      <c r="D18" s="269" t="n"/>
      <c r="E18" s="269" t="n"/>
      <c r="F18" s="269" t="n"/>
      <c r="G18" s="269" t="n"/>
      <c r="H18" s="269" t="n"/>
      <c r="I18" s="288" t="n"/>
      <c r="R18" s="2" t="n"/>
      <c r="S18" s="2" t="n"/>
      <c r="T18" s="2" t="n"/>
    </row>
    <row r="19" ht="14.5" customHeight="1" s="260">
      <c r="B19" s="289" t="inlineStr">
        <is>
          <t>Results of cross check</t>
        </is>
      </c>
      <c r="C19" s="290" t="inlineStr">
        <is>
          <t>More than 5,000 k JPY</t>
        </is>
      </c>
      <c r="D19" s="291" t="n"/>
      <c r="E19" s="275" t="n"/>
      <c r="F19" s="292" t="inlineStr">
        <is>
          <t>More than 20,000 k JPY</t>
        </is>
      </c>
      <c r="G19" s="291" t="n"/>
      <c r="H19" s="291" t="n"/>
      <c r="I19" s="275" t="n"/>
    </row>
    <row r="20" ht="75" customFormat="1" customHeight="1" s="2" thickBot="1">
      <c r="B20" s="293" t="n"/>
      <c r="C20" s="63" t="inlineStr">
        <is>
          <t>Facilities Department
Approver</t>
        </is>
      </c>
      <c r="D20" s="33" t="n"/>
      <c r="E20" s="34" t="n"/>
      <c r="F20" s="79" t="n"/>
      <c r="G20" s="36" t="inlineStr">
        <is>
          <t>Administer Department
Approver</t>
        </is>
      </c>
      <c r="H20" s="26" t="n"/>
      <c r="I20" s="35" t="n"/>
      <c r="R20" s="1" t="n"/>
      <c r="S20" s="1" t="n"/>
      <c r="T20" s="1" t="n"/>
    </row>
    <row r="21" ht="31.5" customHeight="1" s="260">
      <c r="B21" s="187" t="inlineStr">
        <is>
          <t>Comment of Facility Division</t>
        </is>
      </c>
      <c r="C21" s="294" t="n"/>
      <c r="D21" s="273" t="n"/>
      <c r="E21" s="273" t="n"/>
      <c r="F21" s="273" t="n"/>
      <c r="G21" s="273" t="n"/>
      <c r="H21" s="273" t="n"/>
      <c r="I21" s="295" t="n"/>
    </row>
    <row r="22" ht="31.5" customHeight="1" s="260">
      <c r="B22" s="276" t="n"/>
      <c r="C22" s="296" t="n"/>
      <c r="D22" s="297" t="n"/>
      <c r="E22" s="297" t="n"/>
      <c r="F22" s="297" t="n"/>
      <c r="G22" s="297" t="n"/>
      <c r="H22" s="297" t="n"/>
      <c r="I22" s="298" t="n"/>
    </row>
    <row r="23" ht="31.5" customHeight="1" s="260">
      <c r="B23" s="279" t="n"/>
      <c r="C23" s="299" t="n"/>
      <c r="D23" s="300" t="n"/>
      <c r="E23" s="300" t="n"/>
      <c r="F23" s="300" t="n"/>
      <c r="G23" s="300" t="n"/>
      <c r="H23" s="300" t="n"/>
      <c r="I23" s="301" t="n"/>
    </row>
    <row r="24" ht="31.5" customHeight="1" s="260">
      <c r="B24" s="87" t="inlineStr">
        <is>
          <t>Addvice of Facility Division</t>
        </is>
      </c>
      <c r="C24" s="23" t="n"/>
      <c r="D24" s="24" t="n"/>
      <c r="E24" s="24" t="n"/>
      <c r="F24" s="24" t="n"/>
      <c r="G24" s="24" t="n"/>
      <c r="H24" s="24" t="n"/>
      <c r="I24" s="25" t="n"/>
    </row>
    <row r="25" ht="31.5" customHeight="1" s="260">
      <c r="B25" s="276" t="n"/>
      <c r="C25" s="18" t="n"/>
      <c r="D25" s="19" t="n"/>
      <c r="E25" s="19" t="n"/>
      <c r="F25" s="19" t="n"/>
      <c r="G25" s="19" t="n"/>
      <c r="H25" s="19" t="n"/>
      <c r="I25" s="22" t="n"/>
    </row>
    <row r="26" ht="31.5" customHeight="1" s="260" thickBot="1">
      <c r="B26" s="302" t="n"/>
      <c r="C26" s="303" t="n"/>
      <c r="D26" s="304" t="n"/>
      <c r="E26" s="304" t="n"/>
      <c r="F26" s="304" t="n"/>
      <c r="G26" s="304" t="n"/>
      <c r="H26" s="304" t="n"/>
      <c r="I26" s="305" t="n"/>
    </row>
    <row r="27" ht="31.5" customHeight="1" s="260">
      <c r="B27" s="187" t="inlineStr">
        <is>
          <t>Comment of Administer Department</t>
        </is>
      </c>
      <c r="C27" s="294" t="n"/>
      <c r="D27" s="273" t="n"/>
      <c r="E27" s="273" t="n"/>
      <c r="F27" s="273" t="n"/>
      <c r="G27" s="273" t="n"/>
      <c r="H27" s="273" t="n"/>
      <c r="I27" s="295" t="n"/>
    </row>
    <row r="28" ht="31.5" customHeight="1" s="260">
      <c r="B28" s="276" t="n"/>
      <c r="C28" s="296" t="n"/>
      <c r="D28" s="297" t="n"/>
      <c r="E28" s="297" t="n"/>
      <c r="F28" s="297" t="n"/>
      <c r="G28" s="297" t="n"/>
      <c r="H28" s="297" t="n"/>
      <c r="I28" s="298" t="n"/>
    </row>
    <row r="29" ht="31.5" customHeight="1" s="260">
      <c r="B29" s="279" t="n"/>
      <c r="C29" s="299" t="n"/>
      <c r="D29" s="300" t="n"/>
      <c r="E29" s="300" t="n"/>
      <c r="F29" s="300" t="n"/>
      <c r="G29" s="300" t="n"/>
      <c r="H29" s="300" t="n"/>
      <c r="I29" s="301" t="n"/>
    </row>
    <row r="30" ht="31.5" customHeight="1" s="260">
      <c r="B30" s="87" t="inlineStr">
        <is>
          <t>Addvice of Administer Department</t>
        </is>
      </c>
      <c r="C30" s="23" t="n"/>
      <c r="D30" s="24" t="n"/>
      <c r="E30" s="24" t="n"/>
      <c r="F30" s="24" t="n"/>
      <c r="G30" s="24" t="n"/>
      <c r="H30" s="24" t="n"/>
      <c r="I30" s="25" t="n"/>
    </row>
    <row r="31" ht="31.5" customHeight="1" s="260">
      <c r="B31" s="276" t="n"/>
      <c r="C31" s="18" t="n"/>
      <c r="D31" s="19" t="n"/>
      <c r="E31" s="19" t="n"/>
      <c r="F31" s="19" t="n"/>
      <c r="G31" s="19" t="n"/>
      <c r="H31" s="19" t="n"/>
      <c r="I31" s="22" t="n"/>
    </row>
    <row r="32" ht="31.5" customHeight="1" s="260" thickBot="1">
      <c r="B32" s="302" t="n"/>
      <c r="C32" s="303" t="n"/>
      <c r="D32" s="304" t="n"/>
      <c r="E32" s="304" t="n"/>
      <c r="F32" s="304" t="n"/>
      <c r="G32" s="304" t="n"/>
      <c r="H32" s="304" t="n"/>
      <c r="I32" s="305" t="n"/>
    </row>
  </sheetData>
  <mergeCells count="29">
    <mergeCell ref="C23:I23"/>
    <mergeCell ref="C8:F8"/>
    <mergeCell ref="B30:B32"/>
    <mergeCell ref="C7:F7"/>
    <mergeCell ref="C32:I32"/>
    <mergeCell ref="B24:B26"/>
    <mergeCell ref="H9:I9"/>
    <mergeCell ref="B14:B15"/>
    <mergeCell ref="C28:I28"/>
    <mergeCell ref="C18:I18"/>
    <mergeCell ref="C16:G16"/>
    <mergeCell ref="C17:E17"/>
    <mergeCell ref="F19:I19"/>
    <mergeCell ref="B19:B20"/>
    <mergeCell ref="G1:I1"/>
    <mergeCell ref="C19:E19"/>
    <mergeCell ref="C26:I26"/>
    <mergeCell ref="H7:I7"/>
    <mergeCell ref="B21:B23"/>
    <mergeCell ref="C9:G11"/>
    <mergeCell ref="C29:I29"/>
    <mergeCell ref="C14:G15"/>
    <mergeCell ref="B27:B29"/>
    <mergeCell ref="C22:I22"/>
    <mergeCell ref="C21:I21"/>
    <mergeCell ref="C12:I12"/>
    <mergeCell ref="B9:B11"/>
    <mergeCell ref="C13:G13"/>
    <mergeCell ref="C27:I27"/>
  </mergeCells>
  <pageMargins left="0.1181102362204725" right="0.1181102362204725" top="0.7480314960629921" bottom="0.7480314960629921" header="0.3149606299212598" footer="0.3149606299212598"/>
  <pageSetup orientation="portrait" paperSize="9" scale="63"/>
</worksheet>
</file>

<file path=xl/worksheets/sheet2.xml><?xml version="1.0" encoding="utf-8"?>
<worksheet xmlns="http://schemas.openxmlformats.org/spreadsheetml/2006/main">
  <sheetPr>
    <tabColor rgb="FFFFFF00"/>
    <outlinePr summaryBelow="1" summaryRight="1"/>
    <pageSetUpPr fitToPage="1"/>
  </sheetPr>
  <dimension ref="B1:M32"/>
  <sheetViews>
    <sheetView showGridLines="0" topLeftCell="B1" zoomScale="80" zoomScaleNormal="80" workbookViewId="0">
      <selection activeCell="G2" sqref="G2"/>
    </sheetView>
  </sheetViews>
  <sheetFormatPr baseColWidth="8" defaultColWidth="8.81640625" defaultRowHeight="15"/>
  <cols>
    <col width="2.1796875" customWidth="1" style="1" min="1" max="1"/>
    <col width="26.7265625" customWidth="1" style="1" min="2" max="2"/>
    <col width="17.7265625" customWidth="1" style="1" min="3" max="3"/>
    <col width="15.81640625" customWidth="1" style="1" min="4" max="5"/>
    <col width="17.54296875" customWidth="1" style="1" min="6" max="6"/>
    <col width="15.81640625" customWidth="1" style="1" min="7" max="9"/>
    <col width="3.1796875" customWidth="1" style="1" min="10" max="10"/>
    <col width="8.81640625" customWidth="1" style="1" min="11" max="16384"/>
  </cols>
  <sheetData>
    <row r="1" ht="20" customHeight="1" s="260" thickBot="1">
      <c r="G1" s="261" t="inlineStr">
        <is>
          <t>事業部側</t>
        </is>
      </c>
      <c r="H1" s="262" t="n"/>
      <c r="I1" s="263" t="n"/>
      <c r="K1" s="2" t="n"/>
      <c r="L1" s="2" t="n"/>
      <c r="M1" s="2" t="n"/>
    </row>
    <row r="2" ht="30.5" customHeight="1" s="260" thickBot="1">
      <c r="B2" s="3" t="inlineStr">
        <is>
          <t>施設関係：クロスチェックシート（施設部門/総務部 統合版）</t>
        </is>
      </c>
      <c r="G2" s="127" t="inlineStr">
        <is>
          <t>承認</t>
        </is>
      </c>
      <c r="H2" s="39" t="inlineStr">
        <is>
          <t>確認</t>
        </is>
      </c>
      <c r="I2" s="40" t="inlineStr">
        <is>
          <t>担当</t>
        </is>
      </c>
      <c r="K2" s="2" t="n"/>
      <c r="L2" s="2" t="n"/>
      <c r="M2" s="2" t="n"/>
    </row>
    <row r="3" ht="30" customHeight="1" s="260">
      <c r="B3" s="3" t="n"/>
      <c r="G3" s="41" t="inlineStr">
        <is>
          <t>Joerg
Hoffmann</t>
        </is>
      </c>
      <c r="H3" s="42" t="inlineStr">
        <is>
          <t>Alexandre
Ogane</t>
        </is>
      </c>
      <c r="I3" s="43" t="inlineStr">
        <is>
          <t>Evandro
 Farias</t>
        </is>
      </c>
      <c r="K3" s="66" t="n"/>
      <c r="L3" s="66" t="n"/>
      <c r="M3" s="2" t="n"/>
    </row>
    <row r="4" ht="20" customHeight="1" s="260" thickBot="1">
      <c r="B4" s="31" t="inlineStr">
        <is>
          <t>第80期</t>
        </is>
      </c>
      <c r="C4" s="67" t="inlineStr">
        <is>
          <t>受付日 : 19/06/26</t>
        </is>
      </c>
      <c r="G4" s="44" t="inlineStr">
        <is>
          <t>dd/mm/yy</t>
        </is>
      </c>
      <c r="H4" s="45" t="inlineStr">
        <is>
          <t>dd/mm/yy</t>
        </is>
      </c>
      <c r="I4" s="46" t="inlineStr">
        <is>
          <t>dd/mm/yy</t>
        </is>
      </c>
      <c r="K4" s="2" t="n"/>
      <c r="L4" s="2" t="n"/>
      <c r="M4" s="2" t="n"/>
    </row>
    <row r="5" ht="29.5" customHeight="1" s="260">
      <c r="B5" s="30" t="inlineStr">
        <is>
          <t>受付No.</t>
        </is>
      </c>
      <c r="C5" s="20" t="n"/>
      <c r="D5" s="4" t="inlineStr">
        <is>
          <t>申請No.</t>
        </is>
      </c>
      <c r="E5" s="56" t="inlineStr">
        <is>
          <t>S32-26027</t>
        </is>
      </c>
      <c r="F5" s="4" t="inlineStr">
        <is>
          <t>目的区分(経理)</t>
        </is>
      </c>
      <c r="G5" s="74" t="inlineStr">
        <is>
          <t>更新</t>
        </is>
      </c>
      <c r="H5" s="4" t="inlineStr">
        <is>
          <t>設備区分(経理)</t>
        </is>
      </c>
      <c r="I5" s="75" t="inlineStr">
        <is>
          <t>機械設備</t>
        </is>
      </c>
      <c r="K5" s="2" t="n"/>
      <c r="L5" s="2" t="n"/>
      <c r="M5" s="2" t="n"/>
    </row>
    <row r="6" ht="29.5" customHeight="1" s="260">
      <c r="B6" s="5" t="inlineStr">
        <is>
          <t>事業本部</t>
        </is>
      </c>
      <c r="C6" s="72" t="inlineStr">
        <is>
          <t>AS事業本部</t>
        </is>
      </c>
      <c r="D6" s="6" t="inlineStr">
        <is>
          <t>設備計画No.</t>
        </is>
      </c>
      <c r="E6" s="55" t="n"/>
      <c r="F6" s="6" t="inlineStr">
        <is>
          <t>区分1(施設)</t>
        </is>
      </c>
      <c r="G6" s="73" t="inlineStr">
        <is>
          <t>維持補修</t>
        </is>
      </c>
      <c r="H6" s="6" t="inlineStr">
        <is>
          <t>区分2(施設)</t>
        </is>
      </c>
      <c r="I6" s="76" t="inlineStr">
        <is>
          <t>設備関係</t>
        </is>
      </c>
      <c r="K6" s="2" t="n"/>
      <c r="L6" s="2" t="n"/>
      <c r="M6" s="2" t="n"/>
    </row>
    <row r="7" ht="29.5" customHeight="1" s="260">
      <c r="B7" s="5" t="inlineStr">
        <is>
          <t>事業所名</t>
        </is>
      </c>
      <c r="C7" s="306" t="inlineStr">
        <is>
          <t>Minebea AccessSolutions South America Ltda</t>
        </is>
      </c>
      <c r="D7" s="265" t="n"/>
      <c r="E7" s="265" t="n"/>
      <c r="F7" s="266" t="n"/>
      <c r="G7" s="6" t="inlineStr">
        <is>
          <t xml:space="preserve">　依頼者</t>
        </is>
      </c>
      <c r="H7" s="307" t="inlineStr">
        <is>
          <t>Claudio Santos</t>
        </is>
      </c>
      <c r="I7" s="267" t="n"/>
      <c r="K7" s="2" t="n"/>
      <c r="L7" s="2" t="n"/>
      <c r="M7" s="2" t="n"/>
    </row>
    <row r="8" ht="29.5" customHeight="1" s="260" thickBot="1">
      <c r="B8" s="7" t="inlineStr">
        <is>
          <t>案件名</t>
        </is>
      </c>
      <c r="C8" s="308" t="inlineStr">
        <is>
          <t>窒素発生システム</t>
        </is>
      </c>
      <c r="D8" s="269" t="n"/>
      <c r="E8" s="269" t="n"/>
      <c r="F8" s="270" t="n"/>
      <c r="G8" s="8" t="inlineStr">
        <is>
          <t>申請金額(千円)</t>
        </is>
      </c>
      <c r="H8" s="71" t="n">
        <v>8279</v>
      </c>
      <c r="I8" s="80" t="inlineStr">
        <is>
          <t>千円</t>
        </is>
      </c>
      <c r="K8" s="2" t="n"/>
      <c r="L8" s="2" t="n"/>
      <c r="M8" s="2" t="n"/>
    </row>
    <row r="9" ht="27" customHeight="1" s="260">
      <c r="B9" s="187" t="inlineStr">
        <is>
          <t>①
理由・目的</t>
        </is>
      </c>
      <c r="C9" s="309" t="inlineStr">
        <is>
          <t>2017年より塗装ラインで稼働している旧式の窒素発生システムを更新します。当該システムは正常に動作しておらず、メンテナンス用のスペアパーツも入手できない状況です。</t>
        </is>
      </c>
      <c r="D9" s="273" t="n"/>
      <c r="E9" s="273" t="n"/>
      <c r="F9" s="273" t="n"/>
      <c r="G9" s="274" t="n"/>
      <c r="H9" s="310" t="inlineStr">
        <is>
          <t>計画内   or   計画外</t>
        </is>
      </c>
      <c r="I9" s="275" t="n"/>
    </row>
    <row r="10" ht="27" customHeight="1" s="260">
      <c r="B10" s="276" t="n"/>
      <c r="C10" s="277" t="n"/>
      <c r="G10" s="278" t="n"/>
      <c r="H10" s="10" t="inlineStr">
        <is>
          <t>計画額(千円)</t>
        </is>
      </c>
      <c r="I10" s="62" t="n"/>
    </row>
    <row r="11" ht="27" customHeight="1" s="260">
      <c r="B11" s="279" t="n"/>
      <c r="C11" s="280" t="n"/>
      <c r="D11" s="281" t="n"/>
      <c r="E11" s="281" t="n"/>
      <c r="F11" s="281" t="n"/>
      <c r="G11" s="282" t="n"/>
      <c r="H11" s="10" t="inlineStr">
        <is>
          <t>計画外の場合</t>
        </is>
      </c>
      <c r="I11" s="62" t="n"/>
    </row>
    <row r="12" ht="42" customHeight="1" s="260">
      <c r="B12" s="11" t="inlineStr">
        <is>
          <t>②機器選定
(能力・価格・省エネ)</t>
        </is>
      </c>
      <c r="C12" s="311" t="inlineStr">
        <is>
          <t>GERADOR N2 – MEMBRANA - NGM35+ 230 IEC / 36m³/h @ 99,5%; / 230V / ≤ -40 °C</t>
        </is>
      </c>
      <c r="D12" s="265" t="n"/>
      <c r="E12" s="265" t="n"/>
      <c r="F12" s="265" t="n"/>
      <c r="G12" s="265" t="n"/>
      <c r="H12" s="265" t="n"/>
      <c r="I12" s="267" t="n"/>
    </row>
    <row r="13" ht="30.65" customHeight="1" s="260">
      <c r="B13" s="11" t="inlineStr">
        <is>
          <t>③省エネ効果</t>
        </is>
      </c>
      <c r="C13" s="264" t="inlineStr">
        <is>
          <t>インク消費量の削減のみ</t>
        </is>
      </c>
      <c r="D13" s="265" t="n"/>
      <c r="E13" s="265" t="n"/>
      <c r="F13" s="265" t="n"/>
      <c r="G13" s="266" t="n"/>
      <c r="H13" s="21" t="inlineStr">
        <is>
          <t>④回収年</t>
        </is>
      </c>
      <c r="I13" s="60" t="inlineStr">
        <is>
          <t>1.9年</t>
        </is>
      </c>
    </row>
    <row r="14" ht="27.65" customHeight="1" s="260">
      <c r="B14" s="188" t="inlineStr">
        <is>
          <t>⑤業者選定
(品質・コスト・納期・サービス)</t>
        </is>
      </c>
      <c r="C14" s="312" t="inlineStr">
        <is>
          <t>競争力のある価格、納期、メンテナンスサポートの観点から、ATLAS COPCO をサプライヤーとして選定しました。</t>
        </is>
      </c>
      <c r="D14" s="313" t="n"/>
      <c r="E14" s="313" t="n"/>
      <c r="F14" s="313" t="n"/>
      <c r="G14" s="314" t="n"/>
      <c r="H14" s="12" t="inlineStr">
        <is>
          <t>⑥相見積もり</t>
        </is>
      </c>
      <c r="I14" s="77" t="inlineStr">
        <is>
          <t>有り</t>
        </is>
      </c>
    </row>
    <row r="15" ht="27.65" customHeight="1" s="260">
      <c r="B15" s="279" t="n"/>
      <c r="C15" s="280" t="n"/>
      <c r="D15" s="281" t="n"/>
      <c r="E15" s="281" t="n"/>
      <c r="F15" s="281" t="n"/>
      <c r="G15" s="282" t="n"/>
      <c r="H15" s="12" t="inlineStr">
        <is>
          <t>⑦発注方法</t>
        </is>
      </c>
      <c r="I15" s="78" t="inlineStr">
        <is>
          <t>1社</t>
        </is>
      </c>
    </row>
    <row r="16" ht="36" customHeight="1" s="260">
      <c r="B16" s="11" t="inlineStr">
        <is>
          <t>⑧コストダウン</t>
        </is>
      </c>
      <c r="C16" s="177" t="inlineStr">
        <is>
          <t>総コスト削減：188千円（▲2.2%）</t>
        </is>
      </c>
      <c r="D16" s="265" t="n"/>
      <c r="E16" s="265" t="n"/>
      <c r="F16" s="265" t="n"/>
      <c r="G16" s="265" t="n"/>
      <c r="H16" s="12" t="inlineStr">
        <is>
          <t>⑨ミネベアミツミ製品使用有無</t>
        </is>
      </c>
      <c r="I16" s="81" t="inlineStr">
        <is>
          <t>無し</t>
        </is>
      </c>
    </row>
    <row r="17" ht="31.75" customHeight="1" s="260">
      <c r="B17" s="11" t="inlineStr">
        <is>
          <t>⑩支払い条件</t>
        </is>
      </c>
      <c r="C17" s="264" t="inlineStr">
        <is>
          <t>グアルーリョスへの機器到着後30日以内に現金にて全額（100%）支払い</t>
        </is>
      </c>
      <c r="D17" s="265" t="n"/>
      <c r="E17" s="266" t="n"/>
      <c r="F17" s="68" t="inlineStr">
        <is>
          <t>⑪減価償却年数</t>
        </is>
      </c>
      <c r="G17" s="315" t="n">
        <v>8</v>
      </c>
      <c r="H17" s="69">
        <f>H8/G17</f>
        <v/>
      </c>
      <c r="I17" s="70" t="inlineStr">
        <is>
          <t>千円/年</t>
        </is>
      </c>
    </row>
    <row r="18" ht="31.75" customHeight="1" s="260" thickBot="1">
      <c r="B18" s="32" t="inlineStr">
        <is>
          <t>⑫工期スケジュール</t>
        </is>
      </c>
      <c r="C18" s="316" t="inlineStr">
        <is>
          <t>発注：2026年8月、納品：2026年11月、導入・設置：2026年12月</t>
        </is>
      </c>
      <c r="D18" s="269" t="n"/>
      <c r="E18" s="269" t="n"/>
      <c r="F18" s="269" t="n"/>
      <c r="G18" s="269" t="n"/>
      <c r="H18" s="269" t="n"/>
      <c r="I18" s="288" t="n"/>
    </row>
    <row r="19" ht="14.5" customHeight="1" s="260">
      <c r="B19" s="289" t="inlineStr">
        <is>
          <t>クロスチェック結果</t>
        </is>
      </c>
      <c r="C19" s="317" t="inlineStr">
        <is>
          <t>5,000千円以上</t>
        </is>
      </c>
      <c r="D19" s="291" t="n"/>
      <c r="E19" s="275" t="n"/>
      <c r="F19" s="318" t="inlineStr">
        <is>
          <t>20,000千円以上</t>
        </is>
      </c>
      <c r="G19" s="291" t="n"/>
      <c r="H19" s="291" t="n"/>
      <c r="I19" s="275" t="n"/>
    </row>
    <row r="20" ht="46.4" customFormat="1" customHeight="1" s="2" thickBot="1">
      <c r="B20" s="293" t="n"/>
      <c r="C20" s="63" t="inlineStr">
        <is>
          <t>施設部門
確認者</t>
        </is>
      </c>
      <c r="D20" s="33" t="inlineStr">
        <is>
          <t>小池
(dd/mm/yy)</t>
        </is>
      </c>
      <c r="E20" s="34" t="n"/>
      <c r="F20" s="79" t="n"/>
      <c r="G20" s="36" t="inlineStr">
        <is>
          <t>総務部
確認者</t>
        </is>
      </c>
      <c r="H20" s="26" t="inlineStr">
        <is>
          <t>藤田
(dd/mm/yy)</t>
        </is>
      </c>
      <c r="I20" s="35" t="n"/>
    </row>
    <row r="21" ht="31.5" customHeight="1" s="260">
      <c r="B21" s="187" t="inlineStr">
        <is>
          <t>施設部門
コメント</t>
        </is>
      </c>
      <c r="C21" s="294" t="n"/>
      <c r="D21" s="273" t="n"/>
      <c r="E21" s="273" t="n"/>
      <c r="F21" s="273" t="n"/>
      <c r="G21" s="273" t="n"/>
      <c r="H21" s="273" t="n"/>
      <c r="I21" s="295" t="n"/>
    </row>
    <row r="22" ht="31.5" customHeight="1" s="260">
      <c r="B22" s="276" t="n"/>
      <c r="C22" s="296" t="n"/>
      <c r="D22" s="297" t="n"/>
      <c r="E22" s="297" t="n"/>
      <c r="F22" s="297" t="n"/>
      <c r="G22" s="297" t="n"/>
      <c r="H22" s="297" t="n"/>
      <c r="I22" s="298" t="n"/>
    </row>
    <row r="23" ht="31.5" customHeight="1" s="260">
      <c r="B23" s="279" t="n"/>
      <c r="C23" s="299" t="n"/>
      <c r="D23" s="300" t="n"/>
      <c r="E23" s="300" t="n"/>
      <c r="F23" s="300" t="n"/>
      <c r="G23" s="300" t="n"/>
      <c r="H23" s="300" t="n"/>
      <c r="I23" s="301" t="n"/>
    </row>
    <row r="24" ht="31.5" customHeight="1" s="260">
      <c r="B24" s="87" t="inlineStr">
        <is>
          <t>施設部門
アドバイス</t>
        </is>
      </c>
      <c r="C24" s="23" t="n"/>
      <c r="D24" s="24" t="n"/>
      <c r="E24" s="24" t="n"/>
      <c r="F24" s="24" t="n"/>
      <c r="G24" s="24" t="n"/>
      <c r="H24" s="24" t="n"/>
      <c r="I24" s="25" t="n"/>
    </row>
    <row r="25" ht="31.5" customHeight="1" s="260">
      <c r="B25" s="276" t="n"/>
      <c r="C25" s="18" t="n"/>
      <c r="D25" s="19" t="n"/>
      <c r="E25" s="19" t="n"/>
      <c r="F25" s="19" t="n"/>
      <c r="G25" s="19" t="n"/>
      <c r="H25" s="19" t="n"/>
      <c r="I25" s="22" t="n"/>
    </row>
    <row r="26" ht="31.5" customHeight="1" s="260" thickBot="1">
      <c r="B26" s="302" t="n"/>
      <c r="C26" s="303" t="n"/>
      <c r="D26" s="304" t="n"/>
      <c r="E26" s="304" t="n"/>
      <c r="F26" s="304" t="n"/>
      <c r="G26" s="304" t="n"/>
      <c r="H26" s="304" t="n"/>
      <c r="I26" s="305" t="n"/>
    </row>
    <row r="27" ht="31.5" customHeight="1" s="260">
      <c r="B27" s="187" t="inlineStr">
        <is>
          <t>総務部
コメント</t>
        </is>
      </c>
      <c r="C27" s="294" t="n"/>
      <c r="D27" s="273" t="n"/>
      <c r="E27" s="273" t="n"/>
      <c r="F27" s="273" t="n"/>
      <c r="G27" s="273" t="n"/>
      <c r="H27" s="273" t="n"/>
      <c r="I27" s="295" t="n"/>
    </row>
    <row r="28" ht="31.5" customHeight="1" s="260">
      <c r="B28" s="276" t="n"/>
      <c r="C28" s="296" t="n"/>
      <c r="D28" s="297" t="n"/>
      <c r="E28" s="297" t="n"/>
      <c r="F28" s="297" t="n"/>
      <c r="G28" s="297" t="n"/>
      <c r="H28" s="297" t="n"/>
      <c r="I28" s="298" t="n"/>
    </row>
    <row r="29" ht="31.5" customHeight="1" s="260">
      <c r="B29" s="279" t="n"/>
      <c r="C29" s="299" t="n"/>
      <c r="D29" s="300" t="n"/>
      <c r="E29" s="300" t="n"/>
      <c r="F29" s="300" t="n"/>
      <c r="G29" s="300" t="n"/>
      <c r="H29" s="300" t="n"/>
      <c r="I29" s="301" t="n"/>
    </row>
    <row r="30" ht="31.5" customHeight="1" s="260">
      <c r="B30" s="87" t="inlineStr">
        <is>
          <t>総務部
アドバイス</t>
        </is>
      </c>
      <c r="C30" s="23" t="n"/>
      <c r="D30" s="24" t="n"/>
      <c r="E30" s="24" t="n"/>
      <c r="F30" s="24" t="n"/>
      <c r="G30" s="24" t="n"/>
      <c r="H30" s="24" t="n"/>
      <c r="I30" s="25" t="n"/>
    </row>
    <row r="31" ht="31.5" customHeight="1" s="260">
      <c r="B31" s="276" t="n"/>
      <c r="C31" s="18" t="n"/>
      <c r="D31" s="19" t="n"/>
      <c r="E31" s="19" t="n"/>
      <c r="F31" s="19" t="n"/>
      <c r="G31" s="19" t="n"/>
      <c r="H31" s="19" t="n"/>
      <c r="I31" s="22" t="n"/>
    </row>
    <row r="32" ht="31.5" customHeight="1" s="260" thickBot="1">
      <c r="B32" s="302" t="n"/>
      <c r="C32" s="303" t="n"/>
      <c r="D32" s="304" t="n"/>
      <c r="E32" s="304" t="n"/>
      <c r="F32" s="304" t="n"/>
      <c r="G32" s="304" t="n"/>
      <c r="H32" s="304" t="n"/>
      <c r="I32" s="305" t="n"/>
    </row>
  </sheetData>
  <mergeCells count="29">
    <mergeCell ref="C23:I23"/>
    <mergeCell ref="C8:F8"/>
    <mergeCell ref="B30:B32"/>
    <mergeCell ref="C7:F7"/>
    <mergeCell ref="C32:I32"/>
    <mergeCell ref="B24:B26"/>
    <mergeCell ref="H9:I9"/>
    <mergeCell ref="B14:B15"/>
    <mergeCell ref="C28:I28"/>
    <mergeCell ref="C18:I18"/>
    <mergeCell ref="C16:G16"/>
    <mergeCell ref="C17:E17"/>
    <mergeCell ref="F19:I19"/>
    <mergeCell ref="B19:B20"/>
    <mergeCell ref="G1:I1"/>
    <mergeCell ref="C19:E19"/>
    <mergeCell ref="C26:I26"/>
    <mergeCell ref="H7:I7"/>
    <mergeCell ref="B21:B23"/>
    <mergeCell ref="C9:G11"/>
    <mergeCell ref="C29:I29"/>
    <mergeCell ref="C14:G15"/>
    <mergeCell ref="B27:B29"/>
    <mergeCell ref="C22:I22"/>
    <mergeCell ref="C21:I21"/>
    <mergeCell ref="C12:I12"/>
    <mergeCell ref="B9:B11"/>
    <mergeCell ref="C13:G13"/>
    <mergeCell ref="C27:I27"/>
  </mergeCells>
  <pageMargins left="0.1181102362204725" right="0.1181102362204725" top="0.7480314960629921" bottom="0.7480314960629921" header="0.3149606299212598" footer="0.3149606299212598"/>
  <pageSetup orientation="portrait" paperSize="9" scale="75"/>
</worksheet>
</file>

<file path=xl/worksheets/sheet3.xml><?xml version="1.0" encoding="utf-8"?>
<worksheet xmlns="http://schemas.openxmlformats.org/spreadsheetml/2006/main">
  <sheetPr>
    <tabColor theme="1"/>
    <outlinePr summaryBelow="1" summaryRight="1"/>
    <pageSetUpPr fitToPage="1"/>
  </sheetPr>
  <dimension ref="B1:M32"/>
  <sheetViews>
    <sheetView showGridLines="0" zoomScale="80" zoomScaleNormal="80" workbookViewId="0">
      <selection activeCell="Q6" sqref="Q6"/>
    </sheetView>
  </sheetViews>
  <sheetFormatPr baseColWidth="8" defaultColWidth="8.81640625" defaultRowHeight="15"/>
  <cols>
    <col width="2.1796875" customWidth="1" style="1" min="1" max="1"/>
    <col width="26.7265625" customWidth="1" style="1" min="2" max="2"/>
    <col width="17.7265625" customWidth="1" style="1" min="3" max="3"/>
    <col width="15.81640625" customWidth="1" style="1" min="4" max="5"/>
    <col width="17.54296875" customWidth="1" style="1" min="6" max="6"/>
    <col width="15.81640625" customWidth="1" style="1" min="7" max="9"/>
    <col width="3.1796875" customWidth="1" style="1" min="10" max="10"/>
    <col width="8.81640625" customWidth="1" style="1" min="11" max="16384"/>
  </cols>
  <sheetData>
    <row r="1" ht="20" customHeight="1" s="260" thickBot="1">
      <c r="G1" s="261" t="inlineStr">
        <is>
          <t>事業部側</t>
        </is>
      </c>
      <c r="H1" s="262" t="n"/>
      <c r="I1" s="263" t="n"/>
      <c r="K1" s="2" t="n"/>
      <c r="L1" s="2" t="n"/>
      <c r="M1" s="2" t="n"/>
    </row>
    <row r="2" ht="30.5" customHeight="1" s="260" thickBot="1">
      <c r="B2" s="3" t="inlineStr">
        <is>
          <t>施設関係：クロスチェックシート（施設部門/総務部 統合版）</t>
        </is>
      </c>
      <c r="G2" s="127" t="inlineStr">
        <is>
          <t>承認</t>
        </is>
      </c>
      <c r="H2" s="39" t="inlineStr">
        <is>
          <t>確認</t>
        </is>
      </c>
      <c r="I2" s="40" t="inlineStr">
        <is>
          <t>担当</t>
        </is>
      </c>
      <c r="K2" s="2" t="n"/>
      <c r="L2" s="2" t="n"/>
      <c r="M2" s="2" t="n"/>
    </row>
    <row r="3" ht="30" customHeight="1" s="260">
      <c r="B3" s="3" t="n"/>
      <c r="G3" s="41" t="n"/>
      <c r="H3" s="42" t="n"/>
      <c r="I3" s="43" t="n"/>
      <c r="K3" s="37" t="inlineStr">
        <is>
          <t>入力箇所</t>
        </is>
      </c>
      <c r="L3" s="50" t="inlineStr">
        <is>
          <t>選択式</t>
        </is>
      </c>
      <c r="M3" s="2" t="n"/>
    </row>
    <row r="4" ht="20" customHeight="1" s="260" thickBot="1">
      <c r="B4" s="31" t="inlineStr">
        <is>
          <t>第80期</t>
        </is>
      </c>
      <c r="C4" s="47" t="inlineStr">
        <is>
          <t>受付日 : dd/mm/yy</t>
        </is>
      </c>
      <c r="D4" s="48" t="n"/>
      <c r="G4" s="44" t="inlineStr">
        <is>
          <t>dd/mm/yy</t>
        </is>
      </c>
      <c r="H4" s="45" t="inlineStr">
        <is>
          <t>dd/mm/yy</t>
        </is>
      </c>
      <c r="I4" s="46" t="inlineStr">
        <is>
          <t>dd/mm/yy</t>
        </is>
      </c>
      <c r="K4" s="2" t="n"/>
      <c r="L4" s="2" t="n"/>
      <c r="M4" s="2" t="n"/>
    </row>
    <row r="5" ht="29.5" customHeight="1" s="260">
      <c r="B5" s="30" t="inlineStr">
        <is>
          <t>受付No.</t>
        </is>
      </c>
      <c r="C5" s="20" t="n"/>
      <c r="D5" s="4" t="inlineStr">
        <is>
          <t>申請No.</t>
        </is>
      </c>
      <c r="E5" s="56" t="inlineStr">
        <is>
          <t>bbxxx</t>
        </is>
      </c>
      <c r="F5" s="4" t="inlineStr">
        <is>
          <t>目的区分(経理)</t>
        </is>
      </c>
      <c r="G5" s="51" t="inlineStr">
        <is>
          <t>更新</t>
        </is>
      </c>
      <c r="H5" s="4" t="inlineStr">
        <is>
          <t>設備区分(経理)</t>
        </is>
      </c>
      <c r="I5" s="53" t="inlineStr">
        <is>
          <t>構築物</t>
        </is>
      </c>
      <c r="K5" s="2" t="n"/>
      <c r="L5" s="2" t="n"/>
      <c r="M5" s="2" t="n"/>
    </row>
    <row r="6" ht="29.5" customHeight="1" s="260">
      <c r="B6" s="5" t="inlineStr">
        <is>
          <t>事業本部</t>
        </is>
      </c>
      <c r="C6" s="49" t="inlineStr">
        <is>
          <t>PT事業本部</t>
        </is>
      </c>
      <c r="D6" s="6" t="inlineStr">
        <is>
          <t>設備計画No.</t>
        </is>
      </c>
      <c r="E6" s="55" t="inlineStr">
        <is>
          <t>ccxxx</t>
        </is>
      </c>
      <c r="F6" s="6" t="inlineStr">
        <is>
          <t>区分1(施設)</t>
        </is>
      </c>
      <c r="G6" s="52" t="inlineStr">
        <is>
          <t>老朽化/防災</t>
        </is>
      </c>
      <c r="H6" s="6" t="inlineStr">
        <is>
          <t>区分2(施設)</t>
        </is>
      </c>
      <c r="I6" s="54" t="inlineStr">
        <is>
          <t>空気圧縮機</t>
        </is>
      </c>
      <c r="K6" s="2" t="n"/>
      <c r="L6" s="2" t="n"/>
      <c r="M6" s="2" t="n"/>
    </row>
    <row r="7" ht="29.5" customHeight="1" s="260">
      <c r="B7" s="5" t="inlineStr">
        <is>
          <t>事業所名</t>
        </is>
      </c>
      <c r="C7" s="306" t="inlineStr">
        <is>
          <t>aa工場</t>
        </is>
      </c>
      <c r="D7" s="265" t="n"/>
      <c r="E7" s="265" t="n"/>
      <c r="F7" s="266" t="n"/>
      <c r="G7" s="6" t="inlineStr">
        <is>
          <t>依頼者</t>
        </is>
      </c>
      <c r="H7" s="307" t="inlineStr">
        <is>
          <t>aa bbcc</t>
        </is>
      </c>
      <c r="I7" s="267" t="n"/>
      <c r="K7" s="2" t="n"/>
      <c r="L7" s="2" t="n"/>
      <c r="M7" s="2" t="n"/>
    </row>
    <row r="8" ht="29.5" customHeight="1" s="260" thickBot="1">
      <c r="B8" s="7" t="inlineStr">
        <is>
          <t>案件名</t>
        </is>
      </c>
      <c r="C8" s="308" t="inlineStr">
        <is>
          <t>bb工事</t>
        </is>
      </c>
      <c r="D8" s="269" t="n"/>
      <c r="E8" s="269" t="n"/>
      <c r="F8" s="270" t="n"/>
      <c r="G8" s="8" t="inlineStr">
        <is>
          <t>申請金額(千円)</t>
        </is>
      </c>
      <c r="H8" s="71" t="n">
        <v>22000</v>
      </c>
      <c r="I8" s="9" t="inlineStr">
        <is>
          <t>千円</t>
        </is>
      </c>
      <c r="K8" s="2" t="n"/>
      <c r="L8" s="2" t="n"/>
      <c r="M8" s="2" t="n"/>
    </row>
    <row r="9" ht="27" customHeight="1" s="260">
      <c r="B9" s="187" t="inlineStr">
        <is>
          <t>①
理由・目的</t>
        </is>
      </c>
      <c r="C9" s="309" t="inlineStr">
        <is>
          <t>xx工場 第x棟のPACエアコン室外機5台(経年xx年)について、更新手配をさせて頂きます。
経年劣化により故障頻度が増えて来ている事、また補修部品の入手が難しくなって来ている事より、快適環境の維持と、高効率機への更新による省エネを目的として、更新を計画致しました。
本件は5ヵ年計画で更新を進めている、4年目の5台分の申請 になります。</t>
        </is>
      </c>
      <c r="D9" s="273" t="n"/>
      <c r="E9" s="273" t="n"/>
      <c r="F9" s="273" t="n"/>
      <c r="G9" s="274" t="n"/>
      <c r="H9" s="310" t="inlineStr">
        <is>
          <t>計画内   or   計画外</t>
        </is>
      </c>
      <c r="I9" s="275" t="n"/>
    </row>
    <row r="10" ht="27" customHeight="1" s="260">
      <c r="B10" s="276" t="n"/>
      <c r="C10" s="277" t="n"/>
      <c r="G10" s="278" t="n"/>
      <c r="H10" s="10" t="inlineStr">
        <is>
          <t>計画額(千円)</t>
        </is>
      </c>
      <c r="I10" s="62" t="n">
        <v>25000</v>
      </c>
    </row>
    <row r="11" ht="27" customHeight="1" s="260">
      <c r="B11" s="279" t="n"/>
      <c r="C11" s="280" t="n"/>
      <c r="D11" s="281" t="n"/>
      <c r="E11" s="281" t="n"/>
      <c r="F11" s="281" t="n"/>
      <c r="G11" s="282" t="n"/>
      <c r="H11" s="10" t="inlineStr">
        <is>
          <t>計画外の場合</t>
        </is>
      </c>
      <c r="I11" s="62" t="inlineStr">
        <is>
          <t>-</t>
        </is>
      </c>
    </row>
    <row r="12" ht="42" customHeight="1" s="260">
      <c r="B12" s="11" t="inlineStr">
        <is>
          <t>②機器選定
(能力・価格・省エネ)</t>
        </is>
      </c>
      <c r="C12" s="319" t="inlineStr">
        <is>
          <t>・既存の室内機との整合性、空調制御の互換性を考慮し、冷媒配管も継続使用出来るxxx製を選定致しました。
・xx国内において購入可能な3社の機器比較を行い、省エネ効果があり、安価なxxx製を選定致しました。</t>
        </is>
      </c>
      <c r="D12" s="265" t="n"/>
      <c r="E12" s="265" t="n"/>
      <c r="F12" s="265" t="n"/>
      <c r="G12" s="265" t="n"/>
      <c r="H12" s="265" t="n"/>
      <c r="I12" s="267" t="n"/>
    </row>
    <row r="13" ht="30.65" customHeight="1" s="260">
      <c r="B13" s="11" t="inlineStr">
        <is>
          <t>③省エネ効果</t>
        </is>
      </c>
      <c r="C13" s="264" t="inlineStr">
        <is>
          <t>既存機比較で、年間削減   x,xxx千円　xxx,xxxKwh  xx Co2-tonが見込まれます。</t>
        </is>
      </c>
      <c r="D13" s="265" t="n"/>
      <c r="E13" s="265" t="n"/>
      <c r="F13" s="265" t="n"/>
      <c r="G13" s="266" t="n"/>
      <c r="H13" s="21" t="inlineStr">
        <is>
          <t>④回収年</t>
        </is>
      </c>
      <c r="I13" s="60" t="inlineStr">
        <is>
          <t>x.x年</t>
        </is>
      </c>
    </row>
    <row r="14" ht="27.65" customHeight="1" s="260">
      <c r="B14" s="188" t="inlineStr">
        <is>
          <t>⑤業者選定
(品質・コスト・納期・サービス)</t>
        </is>
      </c>
      <c r="C14" s="312" t="inlineStr">
        <is>
          <t>安価でアフターサービス・技術面においても問題無い、xxx社を選定致しました。</t>
        </is>
      </c>
      <c r="D14" s="313" t="n"/>
      <c r="E14" s="313" t="n"/>
      <c r="F14" s="313" t="n"/>
      <c r="G14" s="314" t="n"/>
      <c r="H14" s="12" t="inlineStr">
        <is>
          <t>⑥相見積もり</t>
        </is>
      </c>
      <c r="I14" s="57" t="inlineStr">
        <is>
          <t>有り</t>
        </is>
      </c>
    </row>
    <row r="15" ht="27.65" customHeight="1" s="260">
      <c r="B15" s="279" t="n"/>
      <c r="C15" s="280" t="n"/>
      <c r="D15" s="281" t="n"/>
      <c r="E15" s="281" t="n"/>
      <c r="F15" s="281" t="n"/>
      <c r="G15" s="282" t="n"/>
      <c r="H15" s="12" t="inlineStr">
        <is>
          <t>⑦発注方法</t>
        </is>
      </c>
      <c r="I15" s="58" t="inlineStr">
        <is>
          <t>複数社</t>
        </is>
      </c>
    </row>
    <row r="16" ht="38.15" customHeight="1" s="260">
      <c r="B16" s="11" t="inlineStr">
        <is>
          <t>⑧コストダウン</t>
        </is>
      </c>
      <c r="C16" s="177" t="inlineStr">
        <is>
          <t>相見積もりと値引き交渉の結果、xx.x% x,xxx千円値引き</t>
        </is>
      </c>
      <c r="D16" s="265" t="n"/>
      <c r="E16" s="265" t="n"/>
      <c r="F16" s="265" t="n"/>
      <c r="G16" s="265" t="n"/>
      <c r="H16" s="12" t="inlineStr">
        <is>
          <t>⑨ミネベアミツミ製品使用有無</t>
        </is>
      </c>
      <c r="I16" s="59" t="inlineStr">
        <is>
          <t>無し</t>
        </is>
      </c>
    </row>
    <row r="17" ht="31.75" customHeight="1" s="260">
      <c r="B17" s="11" t="inlineStr">
        <is>
          <t>⑩支払い条件</t>
        </is>
      </c>
      <c r="C17" s="264" t="inlineStr">
        <is>
          <t>検収月末締め 120日後払い</t>
        </is>
      </c>
      <c r="D17" s="265" t="n"/>
      <c r="E17" s="266" t="n"/>
      <c r="F17" s="27" t="inlineStr">
        <is>
          <t>⑪減価償却年数</t>
        </is>
      </c>
      <c r="G17" s="315" t="n">
        <v>10</v>
      </c>
      <c r="H17" s="28">
        <f>H8/G17</f>
        <v/>
      </c>
      <c r="I17" s="64" t="inlineStr">
        <is>
          <t>千円/年</t>
        </is>
      </c>
    </row>
    <row r="18" ht="31.75" customHeight="1" s="260" thickBot="1">
      <c r="B18" s="32" t="inlineStr">
        <is>
          <t>⑫工期スケジュール</t>
        </is>
      </c>
      <c r="C18" s="316" t="inlineStr">
        <is>
          <t>202x年 xx月：発注　202x年 xx月：工事完了　202x年 xx月：稼働開始</t>
        </is>
      </c>
      <c r="D18" s="269" t="n"/>
      <c r="E18" s="269" t="n"/>
      <c r="F18" s="269" t="n"/>
      <c r="G18" s="269" t="n"/>
      <c r="H18" s="269" t="n"/>
      <c r="I18" s="288" t="n"/>
    </row>
    <row r="19" ht="14.5" customHeight="1" s="260">
      <c r="B19" s="289" t="inlineStr">
        <is>
          <t>クロスチェック結果</t>
        </is>
      </c>
      <c r="C19" s="317" t="inlineStr">
        <is>
          <t>5,000千円以上</t>
        </is>
      </c>
      <c r="D19" s="291" t="n"/>
      <c r="E19" s="275" t="n"/>
      <c r="F19" s="318" t="inlineStr">
        <is>
          <t>20,000千円以上</t>
        </is>
      </c>
      <c r="G19" s="291" t="n"/>
      <c r="H19" s="291" t="n"/>
      <c r="I19" s="275" t="n"/>
    </row>
    <row r="20" ht="46.4" customFormat="1" customHeight="1" s="2" thickBot="1">
      <c r="B20" s="293" t="n"/>
      <c r="C20" s="63" t="inlineStr">
        <is>
          <t>施設部門
確認者</t>
        </is>
      </c>
      <c r="D20" s="33" t="inlineStr">
        <is>
          <t>小池
(dd/mm/yy)</t>
        </is>
      </c>
      <c r="E20" s="34" t="n"/>
      <c r="F20" s="65" t="inlineStr">
        <is>
          <t>対象</t>
        </is>
      </c>
      <c r="G20" s="36" t="inlineStr">
        <is>
          <t>総務部
確認者</t>
        </is>
      </c>
      <c r="H20" s="26" t="inlineStr">
        <is>
          <t>藤田
(dd/mm/yy)</t>
        </is>
      </c>
      <c r="I20" s="35" t="n"/>
    </row>
    <row r="21" ht="31.5" customHeight="1" s="260">
      <c r="B21" s="187" t="inlineStr">
        <is>
          <t>施設部門
コメント</t>
        </is>
      </c>
      <c r="C21" s="320" t="n"/>
      <c r="D21" s="291" t="n"/>
      <c r="E21" s="291" t="n"/>
      <c r="F21" s="291" t="n"/>
      <c r="G21" s="291" t="n"/>
      <c r="H21" s="291" t="n"/>
      <c r="I21" s="275" t="n"/>
    </row>
    <row r="22" ht="31.5" customHeight="1" s="260">
      <c r="B22" s="276" t="n"/>
      <c r="C22" s="321" t="n"/>
      <c r="D22" s="265" t="n"/>
      <c r="E22" s="265" t="n"/>
      <c r="F22" s="265" t="n"/>
      <c r="G22" s="265" t="n"/>
      <c r="H22" s="265" t="n"/>
      <c r="I22" s="267" t="n"/>
    </row>
    <row r="23" ht="31.5" customHeight="1" s="260" thickBot="1">
      <c r="B23" s="279" t="n"/>
      <c r="C23" s="321" t="n"/>
      <c r="D23" s="265" t="n"/>
      <c r="E23" s="265" t="n"/>
      <c r="F23" s="265" t="n"/>
      <c r="G23" s="265" t="n"/>
      <c r="H23" s="265" t="n"/>
      <c r="I23" s="267" t="n"/>
    </row>
    <row r="24" ht="31.5" customHeight="1" s="260">
      <c r="B24" s="87" t="inlineStr">
        <is>
          <t>施設部門
アドバイス</t>
        </is>
      </c>
      <c r="C24" s="322" t="n"/>
      <c r="D24" s="323" t="n"/>
      <c r="E24" s="323" t="n"/>
      <c r="F24" s="323" t="n"/>
      <c r="G24" s="323" t="n"/>
      <c r="H24" s="323" t="n"/>
      <c r="I24" s="324" t="n"/>
    </row>
    <row r="25" ht="31.5" customHeight="1" s="260">
      <c r="B25" s="276" t="n"/>
      <c r="C25" s="325" t="n"/>
      <c r="D25" s="326" t="n"/>
      <c r="E25" s="326" t="n"/>
      <c r="F25" s="326" t="n"/>
      <c r="G25" s="326" t="n"/>
      <c r="H25" s="326" t="n"/>
      <c r="I25" s="327" t="n"/>
    </row>
    <row r="26" ht="31.5" customHeight="1" s="260" thickBot="1">
      <c r="B26" s="302" t="n"/>
      <c r="C26" s="328" t="n"/>
      <c r="D26" s="304" t="n"/>
      <c r="E26" s="304" t="n"/>
      <c r="F26" s="304" t="n"/>
      <c r="G26" s="304" t="n"/>
      <c r="H26" s="304" t="n"/>
      <c r="I26" s="305" t="n"/>
    </row>
    <row r="27" ht="31.5" customHeight="1" s="260">
      <c r="B27" s="187" t="inlineStr">
        <is>
          <t>総務部
コメント</t>
        </is>
      </c>
      <c r="C27" s="320" t="n"/>
      <c r="D27" s="291" t="n"/>
      <c r="E27" s="291" t="n"/>
      <c r="F27" s="291" t="n"/>
      <c r="G27" s="291" t="n"/>
      <c r="H27" s="291" t="n"/>
      <c r="I27" s="275" t="n"/>
    </row>
    <row r="28" ht="31.5" customHeight="1" s="260">
      <c r="B28" s="276" t="n"/>
      <c r="C28" s="321" t="n"/>
      <c r="D28" s="265" t="n"/>
      <c r="E28" s="265" t="n"/>
      <c r="F28" s="265" t="n"/>
      <c r="G28" s="265" t="n"/>
      <c r="H28" s="265" t="n"/>
      <c r="I28" s="267" t="n"/>
    </row>
    <row r="29" ht="31.5" customHeight="1" s="260" thickBot="1">
      <c r="B29" s="279" t="n"/>
      <c r="C29" s="321" t="n"/>
      <c r="D29" s="265" t="n"/>
      <c r="E29" s="265" t="n"/>
      <c r="F29" s="265" t="n"/>
      <c r="G29" s="265" t="n"/>
      <c r="H29" s="265" t="n"/>
      <c r="I29" s="267" t="n"/>
    </row>
    <row r="30" ht="31.5" customHeight="1" s="260">
      <c r="B30" s="87" t="inlineStr">
        <is>
          <t>総務部
アドバイス</t>
        </is>
      </c>
      <c r="C30" s="322" t="n"/>
      <c r="D30" s="323" t="n"/>
      <c r="E30" s="323" t="n"/>
      <c r="F30" s="323" t="n"/>
      <c r="G30" s="323" t="n"/>
      <c r="H30" s="323" t="n"/>
      <c r="I30" s="324" t="n"/>
    </row>
    <row r="31" ht="31.5" customHeight="1" s="260">
      <c r="B31" s="276" t="n"/>
      <c r="C31" s="325" t="n"/>
      <c r="D31" s="326" t="n"/>
      <c r="E31" s="326" t="n"/>
      <c r="F31" s="326" t="n"/>
      <c r="G31" s="326" t="n"/>
      <c r="H31" s="326" t="n"/>
      <c r="I31" s="327" t="n"/>
    </row>
    <row r="32" ht="31.5" customHeight="1" s="260" thickBot="1">
      <c r="B32" s="302" t="n"/>
      <c r="C32" s="329" t="n"/>
      <c r="D32" s="330" t="n"/>
      <c r="E32" s="330" t="n"/>
      <c r="F32" s="330" t="n"/>
      <c r="G32" s="330" t="n"/>
      <c r="H32" s="330" t="n"/>
      <c r="I32" s="331" t="n"/>
    </row>
  </sheetData>
  <mergeCells count="33">
    <mergeCell ref="C23:I23"/>
    <mergeCell ref="C8:F8"/>
    <mergeCell ref="B30:B32"/>
    <mergeCell ref="C7:F7"/>
    <mergeCell ref="C32:I32"/>
    <mergeCell ref="B24:B26"/>
    <mergeCell ref="H9:I9"/>
    <mergeCell ref="B14:B15"/>
    <mergeCell ref="C28:I28"/>
    <mergeCell ref="C18:I18"/>
    <mergeCell ref="C16:G16"/>
    <mergeCell ref="C17:E17"/>
    <mergeCell ref="C24:I24"/>
    <mergeCell ref="C30:I30"/>
    <mergeCell ref="F19:I19"/>
    <mergeCell ref="B19:B20"/>
    <mergeCell ref="G1:I1"/>
    <mergeCell ref="C19:E19"/>
    <mergeCell ref="C26:I26"/>
    <mergeCell ref="H7:I7"/>
    <mergeCell ref="B21:B23"/>
    <mergeCell ref="C9:G11"/>
    <mergeCell ref="C29:I29"/>
    <mergeCell ref="C14:G15"/>
    <mergeCell ref="C25:I25"/>
    <mergeCell ref="B27:B29"/>
    <mergeCell ref="C31:I31"/>
    <mergeCell ref="C22:I22"/>
    <mergeCell ref="C21:I21"/>
    <mergeCell ref="C12:I12"/>
    <mergeCell ref="B9:B11"/>
    <mergeCell ref="C13:G13"/>
    <mergeCell ref="C27:I27"/>
  </mergeCells>
  <pageMargins left="0.1181102362204725" right="0.1181102362204725" top="0.7480314960629921" bottom="0.7480314960629921" header="0.3149606299212598" footer="0.3149606299212598"/>
  <pageSetup orientation="portrait" paperSize="9" scale="75"/>
</worksheet>
</file>

<file path=xl/worksheets/sheet4.xml><?xml version="1.0" encoding="utf-8"?>
<worksheet xmlns="http://schemas.openxmlformats.org/spreadsheetml/2006/main">
  <sheetPr>
    <outlinePr summaryBelow="1" summaryRight="1"/>
    <pageSetUpPr/>
  </sheetPr>
  <dimension ref="B3:U28"/>
  <sheetViews>
    <sheetView showGridLines="0" workbookViewId="0">
      <selection activeCell="Q21" sqref="Q21"/>
    </sheetView>
  </sheetViews>
  <sheetFormatPr baseColWidth="8" defaultColWidth="8.81640625" defaultRowHeight="15"/>
  <cols>
    <col width="3.54296875" customWidth="1" style="332" min="1" max="1"/>
    <col width="3.1796875" customWidth="1" style="332" min="2" max="2"/>
    <col width="17.26953125" bestFit="1" customWidth="1" style="332" min="3" max="3"/>
    <col width="3.54296875" customWidth="1" style="332" min="4" max="4"/>
    <col width="3.7265625" customWidth="1" style="332" min="5" max="5"/>
    <col width="10.453125" customWidth="1" style="332" min="6" max="6"/>
    <col width="3.453125" customWidth="1" style="332" min="7" max="7"/>
    <col width="12.453125" bestFit="1" customWidth="1" style="332" min="8" max="8"/>
    <col width="2.1796875" customWidth="1" style="332" min="9" max="9"/>
    <col width="9" bestFit="1" customWidth="1" style="17" min="10" max="10"/>
    <col width="8.81640625" customWidth="1" style="332" min="11" max="14"/>
    <col width="21" customWidth="1" style="332" min="15" max="15"/>
    <col width="29.54296875" customWidth="1" style="332" min="16" max="16"/>
    <col width="29.81640625" customWidth="1" style="332" min="17" max="17"/>
    <col width="10.26953125" customWidth="1" style="332" min="18" max="18"/>
    <col width="11.26953125" customWidth="1" style="332" min="19" max="19"/>
    <col width="17.7265625" customWidth="1" style="332" min="20" max="20"/>
    <col width="8.81640625" customWidth="1" style="332" min="21" max="16384"/>
  </cols>
  <sheetData>
    <row r="3">
      <c r="B3" s="333" t="inlineStr">
        <is>
          <t>設備区分(経理)</t>
        </is>
      </c>
      <c r="E3" s="333" t="inlineStr">
        <is>
          <t>目的区分(経理)</t>
        </is>
      </c>
      <c r="H3" s="333" t="inlineStr">
        <is>
          <t>事業本部</t>
        </is>
      </c>
      <c r="J3" s="333" t="inlineStr">
        <is>
          <t>対象・対象外</t>
        </is>
      </c>
      <c r="M3" s="334" t="inlineStr">
        <is>
          <t xml:space="preserve">Asset Classification (Accounting)    </t>
        </is>
      </c>
      <c r="P3" s="334" t="inlineStr">
        <is>
          <t xml:space="preserve">Purpose Classification (Accounting)    </t>
        </is>
      </c>
      <c r="S3" s="333" t="inlineStr">
        <is>
          <t>Business Division</t>
        </is>
      </c>
      <c r="U3" s="333" t="inlineStr">
        <is>
          <t>Applicable/Non-applicable</t>
        </is>
      </c>
    </row>
    <row r="4">
      <c r="B4" s="335" t="n">
        <v>1</v>
      </c>
      <c r="C4" s="332" t="inlineStr">
        <is>
          <t>土地</t>
        </is>
      </c>
      <c r="E4" s="335" t="n">
        <v>1</v>
      </c>
      <c r="F4" s="332" t="inlineStr">
        <is>
          <t>新規</t>
        </is>
      </c>
      <c r="H4" s="332" t="inlineStr">
        <is>
          <t>PT事業本部</t>
        </is>
      </c>
      <c r="J4" s="332" t="inlineStr">
        <is>
          <t>対象外</t>
        </is>
      </c>
      <c r="M4" s="335" t="n">
        <v>1</v>
      </c>
      <c r="N4" s="336" t="inlineStr">
        <is>
          <t xml:space="preserve">Land    </t>
        </is>
      </c>
      <c r="P4" s="335" t="n">
        <v>1</v>
      </c>
      <c r="Q4" s="336" t="inlineStr">
        <is>
          <t xml:space="preserve">New  </t>
        </is>
      </c>
      <c r="S4" s="332" t="inlineStr">
        <is>
          <t>PT Business Division</t>
        </is>
      </c>
      <c r="U4" s="332" t="inlineStr">
        <is>
          <t>Non-applicable</t>
        </is>
      </c>
    </row>
    <row r="5">
      <c r="B5" s="335" t="n">
        <v>2</v>
      </c>
      <c r="C5" s="332" t="inlineStr">
        <is>
          <t>建物</t>
        </is>
      </c>
      <c r="E5" s="335" t="n">
        <v>2</v>
      </c>
      <c r="F5" s="332" t="inlineStr">
        <is>
          <t>増産</t>
        </is>
      </c>
      <c r="H5" s="332" t="inlineStr">
        <is>
          <t>MLS事業本部</t>
        </is>
      </c>
      <c r="J5" s="332" t="inlineStr">
        <is>
          <t>対象</t>
        </is>
      </c>
      <c r="M5" s="335" t="n">
        <v>2</v>
      </c>
      <c r="N5" s="336" t="inlineStr">
        <is>
          <t xml:space="preserve">Buildings    </t>
        </is>
      </c>
      <c r="P5" s="335" t="n">
        <v>2</v>
      </c>
      <c r="Q5" s="336" t="inlineStr">
        <is>
          <t xml:space="preserve">Increased Production  </t>
        </is>
      </c>
      <c r="S5" s="332" t="inlineStr">
        <is>
          <t>MLS Business Division</t>
        </is>
      </c>
      <c r="U5" s="332" t="inlineStr">
        <is>
          <t>Applicable</t>
        </is>
      </c>
    </row>
    <row r="6">
      <c r="B6" s="335" t="n">
        <v>3</v>
      </c>
      <c r="C6" s="332" t="inlineStr">
        <is>
          <t>構築物</t>
        </is>
      </c>
      <c r="E6" s="335" t="n">
        <v>3</v>
      </c>
      <c r="F6" s="332" t="inlineStr">
        <is>
          <t>合理化</t>
        </is>
      </c>
      <c r="H6" s="332" t="inlineStr">
        <is>
          <t>SE事業本部</t>
        </is>
      </c>
      <c r="M6" s="335" t="n">
        <v>3</v>
      </c>
      <c r="N6" s="336" t="inlineStr">
        <is>
          <t xml:space="preserve">Structures    </t>
        </is>
      </c>
      <c r="P6" s="335" t="n">
        <v>3</v>
      </c>
      <c r="Q6" s="336" t="inlineStr">
        <is>
          <t xml:space="preserve">Rationalization  </t>
        </is>
      </c>
      <c r="S6" s="332" t="inlineStr">
        <is>
          <t>SE Business Division</t>
        </is>
      </c>
      <c r="U6" s="17" t="n"/>
    </row>
    <row r="7">
      <c r="B7" s="335" t="n">
        <v>4</v>
      </c>
      <c r="C7" s="332" t="inlineStr">
        <is>
          <t>機械設備</t>
        </is>
      </c>
      <c r="E7" s="335" t="n">
        <v>4</v>
      </c>
      <c r="F7" s="332" t="inlineStr">
        <is>
          <t>更新</t>
        </is>
      </c>
      <c r="H7" s="332" t="inlineStr">
        <is>
          <t>AS事業本部</t>
        </is>
      </c>
      <c r="J7" s="333" t="inlineStr">
        <is>
          <t>有無</t>
        </is>
      </c>
      <c r="M7" s="335" t="n">
        <v>4</v>
      </c>
      <c r="N7" s="336" t="inlineStr">
        <is>
          <t xml:space="preserve">Machinery and Equipment    </t>
        </is>
      </c>
      <c r="P7" s="335" t="n">
        <v>4</v>
      </c>
      <c r="Q7" s="336" t="inlineStr">
        <is>
          <t xml:space="preserve">Renewal  </t>
        </is>
      </c>
      <c r="S7" s="332" t="inlineStr">
        <is>
          <t>AS Business Division</t>
        </is>
      </c>
      <c r="U7" s="333" t="inlineStr">
        <is>
          <t>Yes/No</t>
        </is>
      </c>
    </row>
    <row r="8">
      <c r="B8" s="335" t="n">
        <v>5</v>
      </c>
      <c r="C8" s="332" t="inlineStr">
        <is>
          <t>車両運搬具</t>
        </is>
      </c>
      <c r="E8" s="335" t="n">
        <v>5</v>
      </c>
      <c r="F8" s="332" t="inlineStr">
        <is>
          <t>研究</t>
        </is>
      </c>
      <c r="H8" s="332" t="inlineStr">
        <is>
          <t>その他</t>
        </is>
      </c>
      <c r="J8" s="332" t="inlineStr">
        <is>
          <t>有り</t>
        </is>
      </c>
      <c r="M8" s="335" t="n">
        <v>5</v>
      </c>
      <c r="N8" s="336" t="inlineStr">
        <is>
          <t xml:space="preserve">Vehicles and Transportation Equipment    </t>
        </is>
      </c>
      <c r="P8" s="335" t="n">
        <v>5</v>
      </c>
      <c r="Q8" s="336" t="inlineStr">
        <is>
          <t xml:space="preserve">Research  </t>
        </is>
      </c>
      <c r="S8" s="332" t="inlineStr">
        <is>
          <t>Other</t>
        </is>
      </c>
      <c r="U8" s="332" t="inlineStr">
        <is>
          <t>Yes</t>
        </is>
      </c>
    </row>
    <row r="9">
      <c r="B9" s="335" t="n">
        <v>6</v>
      </c>
      <c r="C9" s="332" t="inlineStr">
        <is>
          <t>工具器具備品</t>
        </is>
      </c>
      <c r="E9" s="335" t="n">
        <v>6</v>
      </c>
      <c r="F9" s="332" t="inlineStr">
        <is>
          <t>その他</t>
        </is>
      </c>
      <c r="H9" s="332" t="inlineStr">
        <is>
          <t>Total</t>
        </is>
      </c>
      <c r="J9" s="332" t="inlineStr">
        <is>
          <t>無し</t>
        </is>
      </c>
      <c r="M9" s="335" t="n">
        <v>6</v>
      </c>
      <c r="N9" s="336" t="inlineStr">
        <is>
          <t xml:space="preserve">Tools, Furniture, and Fixtures    </t>
        </is>
      </c>
      <c r="P9" s="335" t="n">
        <v>6</v>
      </c>
      <c r="Q9" s="336" t="inlineStr">
        <is>
          <t>Other</t>
        </is>
      </c>
      <c r="S9" s="332" t="inlineStr">
        <is>
          <t>Total</t>
        </is>
      </c>
      <c r="U9" s="332" t="inlineStr">
        <is>
          <t>No</t>
        </is>
      </c>
    </row>
    <row r="10">
      <c r="B10" s="335" t="n">
        <v>7</v>
      </c>
      <c r="C10" s="332" t="inlineStr">
        <is>
          <t>金型</t>
        </is>
      </c>
      <c r="E10" s="337" t="n"/>
      <c r="M10" s="335" t="n">
        <v>7</v>
      </c>
      <c r="N10" s="336" t="inlineStr">
        <is>
          <t xml:space="preserve"> Molds    </t>
        </is>
      </c>
      <c r="P10" s="336" t="n"/>
      <c r="U10" s="17" t="n"/>
    </row>
    <row r="11">
      <c r="B11" s="335" t="n">
        <v>8</v>
      </c>
      <c r="C11" s="332" t="inlineStr">
        <is>
          <t>その他(事務機器等)</t>
        </is>
      </c>
      <c r="E11" s="337" t="n"/>
      <c r="J11" s="333" t="inlineStr">
        <is>
          <t>業者数</t>
        </is>
      </c>
      <c r="M11" s="335" t="n">
        <v>8</v>
      </c>
      <c r="N11" s="336" t="inlineStr">
        <is>
          <t xml:space="preserve">Other (Office Equipment, etc.)    </t>
        </is>
      </c>
      <c r="P11" s="337" t="n"/>
      <c r="U11" s="333" t="inlineStr">
        <is>
          <t>Number of Vendors</t>
        </is>
      </c>
    </row>
    <row r="12">
      <c r="B12" s="335" t="n">
        <v>9</v>
      </c>
      <c r="C12" s="332" t="inlineStr">
        <is>
          <t>ソフトウェア</t>
        </is>
      </c>
      <c r="E12" s="337" t="n"/>
      <c r="J12" s="332" t="inlineStr">
        <is>
          <t>1社</t>
        </is>
      </c>
      <c r="M12" s="335" t="n">
        <v>9</v>
      </c>
      <c r="N12" s="336" t="inlineStr">
        <is>
          <t>Software</t>
        </is>
      </c>
      <c r="P12" s="337" t="n"/>
      <c r="U12" s="332" t="inlineStr">
        <is>
          <t>1 company</t>
        </is>
      </c>
    </row>
    <row r="13">
      <c r="E13" s="337" t="n"/>
      <c r="J13" s="332" t="inlineStr">
        <is>
          <t>複数社</t>
        </is>
      </c>
      <c r="P13" s="337" t="n"/>
      <c r="U13" s="332" t="inlineStr">
        <is>
          <t>Multiple companies</t>
        </is>
      </c>
    </row>
    <row r="14">
      <c r="B14" s="334" t="inlineStr">
        <is>
          <t>区分1(施設)</t>
        </is>
      </c>
      <c r="E14" s="334" t="inlineStr">
        <is>
          <t>区分2(施設)</t>
        </is>
      </c>
      <c r="M14" s="334" t="inlineStr">
        <is>
          <t xml:space="preserve">Category 1 (Facilities)    </t>
        </is>
      </c>
      <c r="P14" s="334" t="inlineStr">
        <is>
          <t xml:space="preserve">Category 2 (Facilities)    </t>
        </is>
      </c>
      <c r="U14" s="17" t="n"/>
    </row>
    <row r="15">
      <c r="B15" s="333" t="n">
        <v>1</v>
      </c>
      <c r="C15" s="332" t="inlineStr">
        <is>
          <t>老朽化/防災</t>
        </is>
      </c>
      <c r="E15" s="335" t="n">
        <v>1</v>
      </c>
      <c r="F15" s="332" t="inlineStr">
        <is>
          <t>太陽光発電</t>
        </is>
      </c>
      <c r="M15" s="335" t="n">
        <v>1</v>
      </c>
      <c r="N15" s="332" t="inlineStr">
        <is>
          <t xml:space="preserve">Aging/Disaster Prevention    </t>
        </is>
      </c>
      <c r="P15" s="335" t="n">
        <v>1</v>
      </c>
      <c r="Q15" s="332" t="inlineStr">
        <is>
          <t>Solar Power Generation</t>
        </is>
      </c>
      <c r="U15" s="17" t="n"/>
    </row>
    <row r="16">
      <c r="B16" s="333" t="n">
        <v>2</v>
      </c>
      <c r="C16" s="332" t="inlineStr">
        <is>
          <t>維持補修</t>
        </is>
      </c>
      <c r="E16" s="335" t="n">
        <v>2</v>
      </c>
      <c r="F16" s="332" t="inlineStr">
        <is>
          <t>変圧器</t>
        </is>
      </c>
      <c r="M16" s="335" t="n">
        <v>2</v>
      </c>
      <c r="N16" s="332" t="inlineStr">
        <is>
          <t xml:space="preserve">Maintenance and Repair    </t>
        </is>
      </c>
      <c r="P16" s="335" t="n">
        <v>2</v>
      </c>
      <c r="Q16" s="332" t="inlineStr">
        <is>
          <t>Transformers</t>
        </is>
      </c>
      <c r="U16" s="17" t="n"/>
    </row>
    <row r="17">
      <c r="B17" s="333" t="n">
        <v>3</v>
      </c>
      <c r="C17" s="332" t="inlineStr">
        <is>
          <t>省エネ</t>
        </is>
      </c>
      <c r="E17" s="335" t="n">
        <v>3</v>
      </c>
      <c r="F17" s="332" t="inlineStr">
        <is>
          <t>冷却塔</t>
        </is>
      </c>
      <c r="M17" s="335" t="n">
        <v>3</v>
      </c>
      <c r="N17" s="332" t="inlineStr">
        <is>
          <t xml:space="preserve">Energy Conservation    </t>
        </is>
      </c>
      <c r="P17" s="335" t="n">
        <v>3</v>
      </c>
      <c r="Q17" s="332" t="inlineStr">
        <is>
          <t>Cooling Towers</t>
        </is>
      </c>
      <c r="U17" s="17" t="n"/>
    </row>
    <row r="18">
      <c r="B18" s="333" t="n">
        <v>4</v>
      </c>
      <c r="C18" s="332" t="inlineStr">
        <is>
          <t>増強/事業部依頼</t>
        </is>
      </c>
      <c r="E18" s="335" t="n">
        <v>4</v>
      </c>
      <c r="F18" s="332" t="inlineStr">
        <is>
          <t>冷凍機</t>
        </is>
      </c>
      <c r="M18" s="335" t="n">
        <v>4</v>
      </c>
      <c r="N18" s="332" t="inlineStr">
        <is>
          <t xml:space="preserve">Expansion/Department Request    </t>
        </is>
      </c>
      <c r="P18" s="335" t="n">
        <v>4</v>
      </c>
      <c r="Q18" s="332" t="inlineStr">
        <is>
          <t>Refrigeration Units</t>
        </is>
      </c>
      <c r="U18" s="17" t="n"/>
    </row>
    <row r="19">
      <c r="B19" s="333" t="n">
        <v>5</v>
      </c>
      <c r="C19" s="332" t="inlineStr">
        <is>
          <t>新築建物</t>
        </is>
      </c>
      <c r="E19" s="335" t="n">
        <v>5</v>
      </c>
      <c r="F19" s="332" t="inlineStr">
        <is>
          <t>空気圧縮機</t>
        </is>
      </c>
      <c r="M19" s="335" t="n">
        <v>5</v>
      </c>
      <c r="N19" s="332" t="inlineStr">
        <is>
          <t xml:space="preserve">New Construction    </t>
        </is>
      </c>
      <c r="P19" s="335" t="n">
        <v>5</v>
      </c>
      <c r="Q19" s="332" t="inlineStr">
        <is>
          <t>Air Compressors</t>
        </is>
      </c>
      <c r="U19" s="17" t="n"/>
    </row>
    <row r="20">
      <c r="B20" s="333" t="n">
        <v>6</v>
      </c>
      <c r="C20" s="332" t="inlineStr">
        <is>
          <t>その他</t>
        </is>
      </c>
      <c r="E20" s="335" t="n">
        <v>6</v>
      </c>
      <c r="F20" s="332" t="inlineStr">
        <is>
          <t>高圧受電盤</t>
        </is>
      </c>
      <c r="M20" s="335" t="n">
        <v>6</v>
      </c>
      <c r="N20" s="332" t="inlineStr">
        <is>
          <t>Other</t>
        </is>
      </c>
      <c r="P20" s="335" t="n">
        <v>6</v>
      </c>
      <c r="Q20" s="332" t="inlineStr">
        <is>
          <t>High-Voltage Switchgear</t>
        </is>
      </c>
      <c r="U20" s="17" t="n"/>
    </row>
    <row r="21">
      <c r="E21" s="335" t="n">
        <v>7</v>
      </c>
      <c r="F21" s="332" t="inlineStr">
        <is>
          <t>空調関係</t>
        </is>
      </c>
      <c r="P21" s="335" t="n">
        <v>7</v>
      </c>
      <c r="Q21" s="332" t="inlineStr">
        <is>
          <t>Air Conditioning Systems</t>
        </is>
      </c>
      <c r="U21" s="17" t="n"/>
    </row>
    <row r="22">
      <c r="E22" s="335" t="n">
        <v>8</v>
      </c>
      <c r="F22" s="332" t="inlineStr">
        <is>
          <t>LED化</t>
        </is>
      </c>
      <c r="P22" s="335" t="n">
        <v>8</v>
      </c>
      <c r="Q22" s="332" t="inlineStr">
        <is>
          <t>LED Conversion</t>
        </is>
      </c>
      <c r="U22" s="17" t="n"/>
    </row>
    <row r="23">
      <c r="E23" s="335" t="inlineStr">
        <is>
          <t>A1</t>
        </is>
      </c>
      <c r="F23" s="332" t="inlineStr">
        <is>
          <t>設備関係</t>
        </is>
      </c>
      <c r="P23" s="335" t="inlineStr">
        <is>
          <t>A1</t>
        </is>
      </c>
      <c r="Q23" s="332" t="inlineStr">
        <is>
          <t>Facility-Related</t>
        </is>
      </c>
      <c r="U23" s="17" t="n"/>
    </row>
    <row r="24">
      <c r="E24" s="335" t="inlineStr">
        <is>
          <t>A2</t>
        </is>
      </c>
      <c r="F24" s="332" t="inlineStr">
        <is>
          <t>建築関係</t>
        </is>
      </c>
      <c r="P24" s="335" t="inlineStr">
        <is>
          <t>A2</t>
        </is>
      </c>
      <c r="Q24" s="332" t="inlineStr">
        <is>
          <t>Building-Related</t>
        </is>
      </c>
      <c r="U24" s="17" t="n"/>
    </row>
    <row r="25">
      <c r="E25" s="335" t="inlineStr">
        <is>
          <t>A3</t>
        </is>
      </c>
      <c r="F25" s="332" t="inlineStr">
        <is>
          <t>電気関係</t>
        </is>
      </c>
      <c r="P25" s="335" t="inlineStr">
        <is>
          <t>A3</t>
        </is>
      </c>
      <c r="Q25" s="332" t="inlineStr">
        <is>
          <t>Electrical-Related</t>
        </is>
      </c>
      <c r="U25" s="17" t="n"/>
    </row>
    <row r="26">
      <c r="E26" s="335" t="inlineStr">
        <is>
          <t>A4</t>
        </is>
      </c>
      <c r="F26" s="332" t="inlineStr">
        <is>
          <t>消防関係</t>
        </is>
      </c>
      <c r="P26" s="335" t="inlineStr">
        <is>
          <t>A4</t>
        </is>
      </c>
      <c r="Q26" s="332" t="inlineStr">
        <is>
          <t>Fire Protection-Related</t>
        </is>
      </c>
      <c r="U26" s="17" t="n"/>
    </row>
    <row r="27">
      <c r="E27" s="335" t="inlineStr">
        <is>
          <t>A5</t>
        </is>
      </c>
      <c r="F27" s="332" t="inlineStr">
        <is>
          <t>その他</t>
        </is>
      </c>
      <c r="P27" s="335" t="inlineStr">
        <is>
          <t>A5</t>
        </is>
      </c>
      <c r="Q27" s="332" t="inlineStr">
        <is>
          <t>Other</t>
        </is>
      </c>
      <c r="U27" s="17" t="n"/>
    </row>
    <row r="28">
      <c r="U28" s="17"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ユーザー</dc:creator>
  <dcterms:created xmlns:dcterms="http://purl.org/dc/terms/" xmlns:xsi="http://www.w3.org/2001/XMLSchema-instance" xsi:type="dcterms:W3CDTF">2022-01-31T07:26:08Z</dcterms:created>
  <dcterms:modified xmlns:dcterms="http://purl.org/dc/terms/" xmlns:xsi="http://www.w3.org/2001/XMLSchema-instance" xsi:type="dcterms:W3CDTF">2026-06-20T05:03:50Z</dcterms:modified>
  <cp:lastModifiedBy>Claudio SANTOS</cp:lastModifiedBy>
  <cp:lastPrinted>2026-05-05T18:16:29Z</cp:lastPrinted>
</cp:coreProperties>
</file>