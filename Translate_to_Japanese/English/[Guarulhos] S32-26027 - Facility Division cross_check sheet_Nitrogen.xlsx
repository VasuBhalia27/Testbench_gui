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Z:\Financeiro\CGestao\2026\Fechamento\Investments Orders\5- Capital Investment Aug.26 - Meeting Jul.26 - Prepared Jun.26\Pre Meeting\4 - Evandro Faria\Gerador de nitrogênio\"/>
    </mc:Choice>
  </mc:AlternateContent>
  <xr:revisionPtr revIDLastSave="0" documentId="13_ncr:1_{72327BBF-9F17-4341-B03B-B923B0FD89FF}" xr6:coauthVersionLast="47" xr6:coauthVersionMax="47" xr10:uidLastSave="{00000000-0000-0000-0000-000000000000}"/>
  <bookViews>
    <workbookView xWindow="28680" yWindow="-120" windowWidth="20730" windowHeight="11040" xr2:uid="{00000000-000D-0000-FFFF-FFFF00000000}"/>
  </bookViews>
  <sheets>
    <sheet name="Request (EN)" sheetId="13" r:id="rId1"/>
    <sheet name="Request" sheetId="11" r:id="rId2"/>
    <sheet name="Sample" sheetId="12" r:id="rId3"/>
    <sheet name="区分" sheetId="2" r:id="rId4"/>
  </sheets>
  <definedNames>
    <definedName name="_xlnm.Print_Area" localSheetId="1">Request!$B$2:$I$26</definedName>
    <definedName name="_xlnm.Print_Area" localSheetId="0">'Request (EN)'!$B$2:$I$26</definedName>
    <definedName name="_xlnm.Print_Area" localSheetId="2">Sample!$B$2:$I$26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13" l="1"/>
  <c r="H17" i="12"/>
  <c r="H17" i="11" l="1"/>
</calcChain>
</file>

<file path=xl/sharedStrings.xml><?xml version="1.0" encoding="utf-8"?>
<sst xmlns="http://schemas.openxmlformats.org/spreadsheetml/2006/main" count="312" uniqueCount="248">
  <si>
    <t>申請No.</t>
    <rPh sb="0" eb="2">
      <t>シンセイ</t>
    </rPh>
    <phoneticPr fontId="4"/>
  </si>
  <si>
    <t>設備計画No.</t>
    <rPh sb="0" eb="2">
      <t>セツビ</t>
    </rPh>
    <rPh sb="2" eb="4">
      <t>ケイカク</t>
    </rPh>
    <phoneticPr fontId="4"/>
  </si>
  <si>
    <t>事業所名</t>
    <rPh sb="0" eb="4">
      <t>ジギョウショメイ</t>
    </rPh>
    <phoneticPr fontId="4"/>
  </si>
  <si>
    <t>案件名</t>
    <rPh sb="0" eb="3">
      <t>アンケンメイ</t>
    </rPh>
    <phoneticPr fontId="4"/>
  </si>
  <si>
    <t>申請金額(千円)</t>
    <rPh sb="0" eb="4">
      <t>シンセイキンガク</t>
    </rPh>
    <rPh sb="5" eb="7">
      <t>センエン</t>
    </rPh>
    <phoneticPr fontId="4"/>
  </si>
  <si>
    <t>①
理由・目的</t>
    <rPh sb="2" eb="4">
      <t>リユウ</t>
    </rPh>
    <rPh sb="5" eb="7">
      <t>モクテキ</t>
    </rPh>
    <phoneticPr fontId="4"/>
  </si>
  <si>
    <t>土地</t>
    <rPh sb="0" eb="2">
      <t>トチ</t>
    </rPh>
    <phoneticPr fontId="4"/>
  </si>
  <si>
    <t>建物</t>
    <rPh sb="0" eb="2">
      <t>タテモノ</t>
    </rPh>
    <phoneticPr fontId="4"/>
  </si>
  <si>
    <t>機械設備</t>
    <rPh sb="0" eb="2">
      <t>キカイ</t>
    </rPh>
    <rPh sb="2" eb="4">
      <t>セツビ</t>
    </rPh>
    <phoneticPr fontId="4"/>
  </si>
  <si>
    <t>車両運搬具</t>
    <rPh sb="0" eb="2">
      <t>シャリョウ</t>
    </rPh>
    <rPh sb="2" eb="5">
      <t>ウンパング</t>
    </rPh>
    <phoneticPr fontId="4"/>
  </si>
  <si>
    <t>工具器具備品</t>
    <rPh sb="0" eb="2">
      <t>コウグ</t>
    </rPh>
    <rPh sb="2" eb="4">
      <t>キグ</t>
    </rPh>
    <rPh sb="4" eb="6">
      <t>ビヒン</t>
    </rPh>
    <phoneticPr fontId="4"/>
  </si>
  <si>
    <t>金型</t>
    <rPh sb="0" eb="2">
      <t>カナガタ</t>
    </rPh>
    <phoneticPr fontId="4"/>
  </si>
  <si>
    <t>その他(事務機器等)</t>
    <rPh sb="2" eb="3">
      <t>タ</t>
    </rPh>
    <rPh sb="4" eb="8">
      <t>ジムキキ</t>
    </rPh>
    <rPh sb="8" eb="9">
      <t>トウ</t>
    </rPh>
    <phoneticPr fontId="4"/>
  </si>
  <si>
    <t>ソフトウェア</t>
    <phoneticPr fontId="4"/>
  </si>
  <si>
    <t>新規</t>
    <rPh sb="0" eb="2">
      <t>シンキ</t>
    </rPh>
    <phoneticPr fontId="4"/>
  </si>
  <si>
    <t>増産</t>
    <rPh sb="0" eb="2">
      <t>ゾウサン</t>
    </rPh>
    <phoneticPr fontId="4"/>
  </si>
  <si>
    <t>合理化</t>
    <rPh sb="0" eb="3">
      <t>ゴウリカ</t>
    </rPh>
    <phoneticPr fontId="4"/>
  </si>
  <si>
    <t>更新</t>
    <rPh sb="0" eb="2">
      <t>コウシン</t>
    </rPh>
    <phoneticPr fontId="4"/>
  </si>
  <si>
    <t>研究</t>
    <rPh sb="0" eb="2">
      <t>ケンキュウ</t>
    </rPh>
    <phoneticPr fontId="4"/>
  </si>
  <si>
    <t>その他</t>
    <rPh sb="2" eb="3">
      <t>タ</t>
    </rPh>
    <phoneticPr fontId="4"/>
  </si>
  <si>
    <t>受付No.</t>
    <rPh sb="0" eb="2">
      <t>ウケツケ</t>
    </rPh>
    <phoneticPr fontId="4"/>
  </si>
  <si>
    <t>依頼者</t>
    <rPh sb="0" eb="3">
      <t>イライシャ</t>
    </rPh>
    <phoneticPr fontId="4"/>
  </si>
  <si>
    <t>③省エネ効果</t>
    <rPh sb="1" eb="2">
      <t>ショウ</t>
    </rPh>
    <rPh sb="4" eb="6">
      <t>コウカ</t>
    </rPh>
    <phoneticPr fontId="4"/>
  </si>
  <si>
    <t>千円</t>
    <rPh sb="0" eb="2">
      <t>センエン</t>
    </rPh>
    <phoneticPr fontId="4"/>
  </si>
  <si>
    <t>事業部側</t>
    <rPh sb="0" eb="3">
      <t>ジギョウブ</t>
    </rPh>
    <rPh sb="3" eb="4">
      <t>ガワ</t>
    </rPh>
    <phoneticPr fontId="4"/>
  </si>
  <si>
    <t>承認</t>
    <rPh sb="0" eb="2">
      <t>ショウニン</t>
    </rPh>
    <phoneticPr fontId="4"/>
  </si>
  <si>
    <t>担当</t>
    <rPh sb="0" eb="2">
      <t>タントウシャ</t>
    </rPh>
    <phoneticPr fontId="4"/>
  </si>
  <si>
    <t>計画額(千円)</t>
    <rPh sb="0" eb="3">
      <t>ケイカクガク</t>
    </rPh>
    <rPh sb="4" eb="6">
      <t>センエン</t>
    </rPh>
    <phoneticPr fontId="4"/>
  </si>
  <si>
    <t>計画内   or   計画外</t>
    <rPh sb="0" eb="3">
      <t>ケイカクナイ</t>
    </rPh>
    <rPh sb="11" eb="14">
      <t>ケイカクガイ</t>
    </rPh>
    <phoneticPr fontId="4"/>
  </si>
  <si>
    <t>有り</t>
    <rPh sb="0" eb="1">
      <t>ア</t>
    </rPh>
    <phoneticPr fontId="4"/>
  </si>
  <si>
    <t>無し</t>
    <rPh sb="0" eb="1">
      <t>ナ</t>
    </rPh>
    <phoneticPr fontId="4"/>
  </si>
  <si>
    <t>事業本部</t>
    <rPh sb="0" eb="4">
      <t>ジギョウホンブ</t>
    </rPh>
    <phoneticPr fontId="4"/>
  </si>
  <si>
    <t>PT事業本部</t>
    <rPh sb="2" eb="6">
      <t>ジギョウホンブ</t>
    </rPh>
    <phoneticPr fontId="4"/>
  </si>
  <si>
    <t>MLS事業本部</t>
    <rPh sb="3" eb="7">
      <t>ジギョウホンブ</t>
    </rPh>
    <phoneticPr fontId="4"/>
  </si>
  <si>
    <t>SE事業本部</t>
    <rPh sb="2" eb="6">
      <t>ジギョウホンブ</t>
    </rPh>
    <phoneticPr fontId="4"/>
  </si>
  <si>
    <t>AS事業本部</t>
    <rPh sb="2" eb="6">
      <t>ジギョウホンブ</t>
    </rPh>
    <phoneticPr fontId="4"/>
  </si>
  <si>
    <t>その他</t>
    <rPh sb="2" eb="3">
      <t>タ</t>
    </rPh>
    <phoneticPr fontId="4"/>
  </si>
  <si>
    <t>計画外の場合</t>
    <rPh sb="0" eb="3">
      <t>ケイカクガイ</t>
    </rPh>
    <rPh sb="4" eb="6">
      <t>バアイ</t>
    </rPh>
    <phoneticPr fontId="4"/>
  </si>
  <si>
    <t>確認</t>
    <rPh sb="0" eb="2">
      <t>カクニン</t>
    </rPh>
    <phoneticPr fontId="4"/>
  </si>
  <si>
    <t>Total</t>
    <phoneticPr fontId="4"/>
  </si>
  <si>
    <t>総務部
コメント</t>
    <rPh sb="0" eb="2">
      <t>ソウム</t>
    </rPh>
    <rPh sb="2" eb="3">
      <t>ブ</t>
    </rPh>
    <phoneticPr fontId="4"/>
  </si>
  <si>
    <t>施設部門
確認者</t>
    <rPh sb="0" eb="4">
      <t>シセツブモン</t>
    </rPh>
    <rPh sb="5" eb="8">
      <t>カクニンシャ</t>
    </rPh>
    <phoneticPr fontId="4"/>
  </si>
  <si>
    <t>施設部門
コメント</t>
    <rPh sb="0" eb="3">
      <t>シセツブ</t>
    </rPh>
    <rPh sb="3" eb="4">
      <t>モン</t>
    </rPh>
    <phoneticPr fontId="4"/>
  </si>
  <si>
    <t>施設部門
アドバイス</t>
    <rPh sb="0" eb="3">
      <t>シセツブ</t>
    </rPh>
    <rPh sb="3" eb="4">
      <t>モン</t>
    </rPh>
    <phoneticPr fontId="4"/>
  </si>
  <si>
    <t>⑥相見積もり</t>
    <rPh sb="1" eb="4">
      <t>アイミツ</t>
    </rPh>
    <phoneticPr fontId="4"/>
  </si>
  <si>
    <t>⑦発注方法</t>
    <rPh sb="1" eb="3">
      <t>ハッチュウ</t>
    </rPh>
    <rPh sb="3" eb="5">
      <t>ホウホウ</t>
    </rPh>
    <phoneticPr fontId="4"/>
  </si>
  <si>
    <t>⑧コストダウン</t>
    <phoneticPr fontId="4"/>
  </si>
  <si>
    <t>⑨ミネベアミツミ製品使用有無</t>
    <phoneticPr fontId="4"/>
  </si>
  <si>
    <t>⑩支払い条件</t>
    <rPh sb="1" eb="3">
      <t>シハラ</t>
    </rPh>
    <rPh sb="4" eb="6">
      <t>ジョウケン</t>
    </rPh>
    <phoneticPr fontId="4"/>
  </si>
  <si>
    <t>⑪減価償却年数</t>
    <rPh sb="1" eb="3">
      <t>ゲンカ</t>
    </rPh>
    <rPh sb="3" eb="5">
      <t>ショウキャク</t>
    </rPh>
    <rPh sb="5" eb="7">
      <t>ネンスウ</t>
    </rPh>
    <phoneticPr fontId="4"/>
  </si>
  <si>
    <t>⑫工期スケジュール</t>
    <rPh sb="1" eb="3">
      <t>コウキ</t>
    </rPh>
    <phoneticPr fontId="4"/>
  </si>
  <si>
    <t>構築物</t>
    <rPh sb="0" eb="3">
      <t>コウチクブツ</t>
    </rPh>
    <phoneticPr fontId="4"/>
  </si>
  <si>
    <t>第80期</t>
    <phoneticPr fontId="4"/>
  </si>
  <si>
    <t>④回収年</t>
    <rPh sb="1" eb="3">
      <t>カイシュウ</t>
    </rPh>
    <rPh sb="3" eb="4">
      <t>ネン</t>
    </rPh>
    <phoneticPr fontId="4"/>
  </si>
  <si>
    <t>受付日 : dd/mm/yy</t>
    <rPh sb="0" eb="3">
      <t>ウケツケヒ</t>
    </rPh>
    <phoneticPr fontId="4"/>
  </si>
  <si>
    <t>総務部
確認者</t>
    <rPh sb="0" eb="3">
      <t>ソウムブ</t>
    </rPh>
    <rPh sb="4" eb="7">
      <t>カクニンシャ</t>
    </rPh>
    <phoneticPr fontId="4"/>
  </si>
  <si>
    <t>小池
(dd/mm/yy)</t>
    <rPh sb="0" eb="2">
      <t>コイケ</t>
    </rPh>
    <phoneticPr fontId="4"/>
  </si>
  <si>
    <t>藤田
(dd/mm/yy)</t>
    <rPh sb="0" eb="2">
      <t>フジタ</t>
    </rPh>
    <phoneticPr fontId="4"/>
  </si>
  <si>
    <t>クロスチェック結果</t>
    <rPh sb="7" eb="9">
      <t>ケッカ</t>
    </rPh>
    <phoneticPr fontId="4"/>
  </si>
  <si>
    <t>千円/年</t>
    <rPh sb="0" eb="2">
      <t>センエン</t>
    </rPh>
    <rPh sb="3" eb="4">
      <t>ネン</t>
    </rPh>
    <phoneticPr fontId="4"/>
  </si>
  <si>
    <t>区分1(施設)</t>
    <rPh sb="0" eb="2">
      <t>クブン</t>
    </rPh>
    <rPh sb="4" eb="6">
      <t>シセツ</t>
    </rPh>
    <phoneticPr fontId="4"/>
  </si>
  <si>
    <t>区分2(施設)</t>
    <rPh sb="0" eb="2">
      <t>クブン</t>
    </rPh>
    <rPh sb="4" eb="6">
      <t>シセツ</t>
    </rPh>
    <phoneticPr fontId="4"/>
  </si>
  <si>
    <t>目的区分(経理)</t>
    <rPh sb="0" eb="4">
      <t>モクテキクブン</t>
    </rPh>
    <rPh sb="5" eb="7">
      <t>ケイリ</t>
    </rPh>
    <phoneticPr fontId="4"/>
  </si>
  <si>
    <t>設備区分(経理)</t>
    <rPh sb="0" eb="4">
      <t>セツビクブン</t>
    </rPh>
    <rPh sb="5" eb="7">
      <t>ケイリ</t>
    </rPh>
    <phoneticPr fontId="4"/>
  </si>
  <si>
    <t>事業本部</t>
    <rPh sb="0" eb="4">
      <t>ジギョウホンブ</t>
    </rPh>
    <phoneticPr fontId="4"/>
  </si>
  <si>
    <t>有無</t>
    <rPh sb="0" eb="2">
      <t>ウム</t>
    </rPh>
    <phoneticPr fontId="4"/>
  </si>
  <si>
    <t>区分1(施設)</t>
    <rPh sb="0" eb="2">
      <t>クブン</t>
    </rPh>
    <rPh sb="4" eb="6">
      <t>シセツ</t>
    </rPh>
    <phoneticPr fontId="4"/>
  </si>
  <si>
    <t>区分2(施設)</t>
    <rPh sb="0" eb="2">
      <t>クブン</t>
    </rPh>
    <rPh sb="4" eb="6">
      <t>シセツ</t>
    </rPh>
    <phoneticPr fontId="4"/>
  </si>
  <si>
    <t>目的区分(経理)</t>
    <rPh sb="0" eb="2">
      <t>モクテキ</t>
    </rPh>
    <rPh sb="2" eb="4">
      <t>クブン</t>
    </rPh>
    <rPh sb="5" eb="7">
      <t>ケイリ</t>
    </rPh>
    <phoneticPr fontId="4"/>
  </si>
  <si>
    <t>老朽化/防災</t>
    <phoneticPr fontId="4"/>
  </si>
  <si>
    <t>維持補修</t>
    <phoneticPr fontId="4"/>
  </si>
  <si>
    <t>省エネ</t>
    <phoneticPr fontId="4"/>
  </si>
  <si>
    <t>増強/事業部依頼</t>
    <phoneticPr fontId="4"/>
  </si>
  <si>
    <t>新築建物</t>
    <phoneticPr fontId="4"/>
  </si>
  <si>
    <t>その他</t>
    <phoneticPr fontId="4"/>
  </si>
  <si>
    <t>A1</t>
    <phoneticPr fontId="4"/>
  </si>
  <si>
    <t>A2</t>
    <phoneticPr fontId="4"/>
  </si>
  <si>
    <t>A3</t>
    <phoneticPr fontId="4"/>
  </si>
  <si>
    <t>A4</t>
    <phoneticPr fontId="4"/>
  </si>
  <si>
    <t>A5</t>
    <phoneticPr fontId="4"/>
  </si>
  <si>
    <t>太陽光発電</t>
    <phoneticPr fontId="4"/>
  </si>
  <si>
    <t>変圧器</t>
    <phoneticPr fontId="4"/>
  </si>
  <si>
    <t>冷却塔</t>
    <phoneticPr fontId="4"/>
  </si>
  <si>
    <t>冷凍機</t>
    <phoneticPr fontId="4"/>
  </si>
  <si>
    <t>空気圧縮機</t>
    <phoneticPr fontId="4"/>
  </si>
  <si>
    <t>高圧受電盤</t>
    <phoneticPr fontId="4"/>
  </si>
  <si>
    <t>空調関係</t>
    <phoneticPr fontId="4"/>
  </si>
  <si>
    <t>LED化</t>
    <phoneticPr fontId="4"/>
  </si>
  <si>
    <t>設備関係</t>
    <phoneticPr fontId="4"/>
  </si>
  <si>
    <t>建築関係</t>
    <phoneticPr fontId="4"/>
  </si>
  <si>
    <t>電気関係</t>
    <phoneticPr fontId="4"/>
  </si>
  <si>
    <t>消防関係</t>
    <phoneticPr fontId="4"/>
  </si>
  <si>
    <t>業者数</t>
    <rPh sb="0" eb="3">
      <t>ギョウシャスウ</t>
    </rPh>
    <phoneticPr fontId="4"/>
  </si>
  <si>
    <r>
      <t>施設関係：クロスチェックシート</t>
    </r>
    <r>
      <rPr>
        <b/>
        <sz val="20"/>
        <color theme="1"/>
        <rFont val="Meiryo UI"/>
        <family val="3"/>
        <charset val="128"/>
      </rPr>
      <t>（施設部門/総務部 統合版）</t>
    </r>
    <rPh sb="0" eb="4">
      <t>シセツカンケイ</t>
    </rPh>
    <rPh sb="16" eb="20">
      <t>シセツブモン</t>
    </rPh>
    <rPh sb="21" eb="24">
      <t>ソウムブ</t>
    </rPh>
    <rPh sb="25" eb="28">
      <t>トウゴウバン</t>
    </rPh>
    <phoneticPr fontId="4"/>
  </si>
  <si>
    <t>5,000千円以上</t>
    <rPh sb="5" eb="7">
      <t>センエン</t>
    </rPh>
    <rPh sb="7" eb="9">
      <t>イジョウ</t>
    </rPh>
    <phoneticPr fontId="4"/>
  </si>
  <si>
    <t>対象外</t>
    <rPh sb="0" eb="3">
      <t>タイショウガイ</t>
    </rPh>
    <phoneticPr fontId="4"/>
  </si>
  <si>
    <t>対象</t>
    <rPh sb="0" eb="2">
      <t>タイショウ</t>
    </rPh>
    <phoneticPr fontId="4"/>
  </si>
  <si>
    <t>20,000千円以上</t>
    <rPh sb="6" eb="8">
      <t>センエン</t>
    </rPh>
    <rPh sb="8" eb="10">
      <t>イジョウ</t>
    </rPh>
    <phoneticPr fontId="4"/>
  </si>
  <si>
    <t>x.x年</t>
    <rPh sb="3" eb="4">
      <t>ネン</t>
    </rPh>
    <phoneticPr fontId="4"/>
  </si>
  <si>
    <t>1社</t>
    <rPh sb="1" eb="2">
      <t>シャ</t>
    </rPh>
    <phoneticPr fontId="4"/>
  </si>
  <si>
    <t>複数社</t>
    <rPh sb="0" eb="2">
      <t>フクスウ</t>
    </rPh>
    <rPh sb="2" eb="3">
      <t>シャ</t>
    </rPh>
    <phoneticPr fontId="4"/>
  </si>
  <si>
    <t>②機器選定
(能力・価格・省エネ)</t>
    <rPh sb="1" eb="5">
      <t>キキセンテイ</t>
    </rPh>
    <rPh sb="7" eb="9">
      <t>ノウリョク</t>
    </rPh>
    <rPh sb="10" eb="12">
      <t>カカク</t>
    </rPh>
    <rPh sb="13" eb="14">
      <t>ショウ</t>
    </rPh>
    <phoneticPr fontId="4"/>
  </si>
  <si>
    <r>
      <t xml:space="preserve">⑤業者選定
</t>
    </r>
    <r>
      <rPr>
        <b/>
        <sz val="12"/>
        <color theme="1"/>
        <rFont val="Meiryo UI"/>
        <family val="3"/>
        <charset val="128"/>
      </rPr>
      <t>(品質・コスト・納期・サービス)</t>
    </r>
    <rPh sb="1" eb="3">
      <t>ギョウシャ</t>
    </rPh>
    <rPh sb="3" eb="5">
      <t>センテイ</t>
    </rPh>
    <rPh sb="7" eb="9">
      <t>ヒンシツ</t>
    </rPh>
    <rPh sb="14" eb="16">
      <t>ノウキ</t>
    </rPh>
    <phoneticPr fontId="4"/>
  </si>
  <si>
    <t>対象・対象外</t>
    <rPh sb="0" eb="2">
      <t>タイショウ</t>
    </rPh>
    <rPh sb="3" eb="6">
      <t>タイショウガイ</t>
    </rPh>
    <phoneticPr fontId="4"/>
  </si>
  <si>
    <t>dd/mm/yy</t>
  </si>
  <si>
    <t>dd/mm/yy</t>
    <phoneticPr fontId="4"/>
  </si>
  <si>
    <t>xx工場 第x棟のPACエアコン室外機5台(経年xx年)について、更新手配をさせて頂きます。
経年劣化により故障頻度が増えて来ている事、また補修部品の入手が難しくなって来ている事より、快適環境の維持と、高効率機への更新による省エネを目的として、更新を計画致しました。
本件は5ヵ年計画で更新を進めている、4年目の5台分の申請 になります。</t>
    <phoneticPr fontId="4"/>
  </si>
  <si>
    <t>既存機比較で、年間削減   x,xxx千円　xxx,xxxKwh  xx Co2-tonが見込まれます。</t>
    <phoneticPr fontId="4"/>
  </si>
  <si>
    <t>安価でアフターサービス・技術面においても問題無い、xxx社を選定致しました。</t>
    <phoneticPr fontId="4"/>
  </si>
  <si>
    <t>検収月末締め 120日後払い</t>
    <phoneticPr fontId="4"/>
  </si>
  <si>
    <t>202x年 xx月：発注　202x年 xx月：工事完了　202x年 xx月：稼働開始</t>
    <phoneticPr fontId="4"/>
  </si>
  <si>
    <t>-</t>
    <phoneticPr fontId="4"/>
  </si>
  <si>
    <t>bbxxx</t>
    <phoneticPr fontId="4"/>
  </si>
  <si>
    <t>ccxxx</t>
    <phoneticPr fontId="4"/>
  </si>
  <si>
    <t>老朽化/防災</t>
  </si>
  <si>
    <t>aa bbcc</t>
    <phoneticPr fontId="4"/>
  </si>
  <si>
    <t>aa工場</t>
    <rPh sb="2" eb="4">
      <t>コウジョウ</t>
    </rPh>
    <phoneticPr fontId="4"/>
  </si>
  <si>
    <t>bb工事</t>
    <rPh sb="2" eb="4">
      <t>コウジ</t>
    </rPh>
    <phoneticPr fontId="4"/>
  </si>
  <si>
    <t>空気圧縮機</t>
  </si>
  <si>
    <t>　依頼者</t>
    <rPh sb="1" eb="4">
      <t>イライシャ</t>
    </rPh>
    <phoneticPr fontId="4"/>
  </si>
  <si>
    <t>総務部
アドバイス</t>
    <rPh sb="0" eb="3">
      <t>ソウムブ</t>
    </rPh>
    <phoneticPr fontId="4"/>
  </si>
  <si>
    <t>Facility Division: cross-check sheet</t>
    <phoneticPr fontId="4"/>
  </si>
  <si>
    <t>Approval</t>
    <phoneticPr fontId="4"/>
  </si>
  <si>
    <t>Checked</t>
    <phoneticPr fontId="4"/>
  </si>
  <si>
    <t>In-Charge</t>
    <phoneticPr fontId="4"/>
  </si>
  <si>
    <t>Entry No.</t>
    <phoneticPr fontId="4"/>
  </si>
  <si>
    <t>Department name</t>
    <phoneticPr fontId="4"/>
  </si>
  <si>
    <t>Office name</t>
    <phoneticPr fontId="4"/>
  </si>
  <si>
    <t>Proposal name</t>
    <phoneticPr fontId="4"/>
  </si>
  <si>
    <t>Application No.</t>
    <phoneticPr fontId="4"/>
  </si>
  <si>
    <t>Eqiupment Plan No.</t>
    <phoneticPr fontId="4"/>
  </si>
  <si>
    <t>Purpose category
(Finance)</t>
    <phoneticPr fontId="4"/>
  </si>
  <si>
    <t>Equipment category
(Finance)</t>
    <phoneticPr fontId="4"/>
  </si>
  <si>
    <t>Equipment category1
(Facility)</t>
    <phoneticPr fontId="4"/>
  </si>
  <si>
    <t>Equipment category2
(Facility)</t>
    <phoneticPr fontId="4"/>
  </si>
  <si>
    <t xml:space="preserve">  Requester</t>
    <phoneticPr fontId="4"/>
  </si>
  <si>
    <t>k JPY</t>
    <phoneticPr fontId="4"/>
  </si>
  <si>
    <t>Applied amount
(KJPY)</t>
    <phoneticPr fontId="4"/>
  </si>
  <si>
    <t>③Energy saving effect</t>
    <phoneticPr fontId="4"/>
  </si>
  <si>
    <t>⑩Payment terms</t>
    <phoneticPr fontId="4"/>
  </si>
  <si>
    <t>⑫Work shedule</t>
    <phoneticPr fontId="4"/>
  </si>
  <si>
    <t>⑪Depreciation years</t>
    <phoneticPr fontId="4"/>
  </si>
  <si>
    <t>k　JPY/year</t>
    <phoneticPr fontId="4"/>
  </si>
  <si>
    <t>Planned amount(KJPY)</t>
    <phoneticPr fontId="4"/>
  </si>
  <si>
    <t>In not planeed</t>
    <phoneticPr fontId="4"/>
  </si>
  <si>
    <t>⑥comparative quotation</t>
    <phoneticPr fontId="4"/>
  </si>
  <si>
    <t>⑦Ordering Method</t>
    <phoneticPr fontId="4"/>
  </si>
  <si>
    <t>⑨Use of Minebea Mitsumi Products</t>
    <phoneticPr fontId="4"/>
  </si>
  <si>
    <t>④Return Costs　terms</t>
    <phoneticPr fontId="4"/>
  </si>
  <si>
    <t>Results of cross check</t>
    <phoneticPr fontId="4"/>
  </si>
  <si>
    <t>Facilities Department
Approver</t>
    <phoneticPr fontId="4"/>
  </si>
  <si>
    <t>More than 5,000 k JPY</t>
    <phoneticPr fontId="4"/>
  </si>
  <si>
    <t>More than 20,000 k JPY</t>
    <phoneticPr fontId="4"/>
  </si>
  <si>
    <t>Comment of Facility Division</t>
    <phoneticPr fontId="4"/>
  </si>
  <si>
    <t>Addvice of Facility Division</t>
    <phoneticPr fontId="4"/>
  </si>
  <si>
    <t>Administer Department
Approver</t>
    <phoneticPr fontId="4"/>
  </si>
  <si>
    <t>Comment of Administer Department</t>
    <phoneticPr fontId="4"/>
  </si>
  <si>
    <t>Addvice of Administer Department</t>
    <phoneticPr fontId="4"/>
  </si>
  <si>
    <t xml:space="preserve">Asset Classification (Accounting)    </t>
  </si>
  <si>
    <t xml:space="preserve">Purpose Classification (Accounting)    </t>
  </si>
  <si>
    <t xml:space="preserve">Land    </t>
    <phoneticPr fontId="4"/>
  </si>
  <si>
    <t xml:space="preserve">Buildings    </t>
    <phoneticPr fontId="4"/>
  </si>
  <si>
    <t xml:space="preserve">Structures    </t>
    <phoneticPr fontId="4"/>
  </si>
  <si>
    <t xml:space="preserve">Machinery and Equipment    </t>
    <phoneticPr fontId="4"/>
  </si>
  <si>
    <t xml:space="preserve">Vehicles and Transportation Equipment    </t>
    <phoneticPr fontId="4"/>
  </si>
  <si>
    <t xml:space="preserve">Tools, Furniture, and Fixtures    </t>
    <phoneticPr fontId="4"/>
  </si>
  <si>
    <t xml:space="preserve"> Molds    </t>
    <phoneticPr fontId="4"/>
  </si>
  <si>
    <t xml:space="preserve">Other (Office Equipment, etc.)    </t>
    <phoneticPr fontId="4"/>
  </si>
  <si>
    <t>Software</t>
    <phoneticPr fontId="4"/>
  </si>
  <si>
    <t xml:space="preserve">New  </t>
    <phoneticPr fontId="4"/>
  </si>
  <si>
    <t xml:space="preserve">Increased Production  </t>
    <phoneticPr fontId="4"/>
  </si>
  <si>
    <t xml:space="preserve">Rationalization  </t>
    <phoneticPr fontId="4"/>
  </si>
  <si>
    <t xml:space="preserve">Renewal  </t>
    <phoneticPr fontId="4"/>
  </si>
  <si>
    <t xml:space="preserve">Research  </t>
    <phoneticPr fontId="4"/>
  </si>
  <si>
    <t>Other</t>
  </si>
  <si>
    <t>Other</t>
    <phoneticPr fontId="4"/>
  </si>
  <si>
    <t>Business Division</t>
  </si>
  <si>
    <t>PT Business Division</t>
  </si>
  <si>
    <t>MLS Business Division</t>
  </si>
  <si>
    <t>SE Business Division</t>
  </si>
  <si>
    <t>AS Business Division</t>
  </si>
  <si>
    <t>Total</t>
  </si>
  <si>
    <t>Applicable/Non-applicable</t>
  </si>
  <si>
    <t>Non-applicable</t>
  </si>
  <si>
    <t>Applicable</t>
  </si>
  <si>
    <t>Yes/No</t>
    <phoneticPr fontId="4"/>
  </si>
  <si>
    <t>Yes</t>
    <phoneticPr fontId="4"/>
  </si>
  <si>
    <t>No</t>
    <phoneticPr fontId="4"/>
  </si>
  <si>
    <t>Number of Vendors</t>
  </si>
  <si>
    <t>1 company</t>
  </si>
  <si>
    <t>Multiple companies</t>
  </si>
  <si>
    <t xml:space="preserve">Category 1 (Facilities)    </t>
  </si>
  <si>
    <t xml:space="preserve">Aging/Disaster Prevention    </t>
    <phoneticPr fontId="4"/>
  </si>
  <si>
    <t xml:space="preserve">Maintenance and Repair    </t>
    <phoneticPr fontId="4"/>
  </si>
  <si>
    <t xml:space="preserve">Energy Conservation    </t>
    <phoneticPr fontId="4"/>
  </si>
  <si>
    <t xml:space="preserve">Expansion/Department Request    </t>
    <phoneticPr fontId="4"/>
  </si>
  <si>
    <t>Solar Power Generation</t>
  </si>
  <si>
    <t>Transformers</t>
  </si>
  <si>
    <t>Cooling Towers</t>
  </si>
  <si>
    <t>Refrigeration Units</t>
  </si>
  <si>
    <t>Air Compressors</t>
  </si>
  <si>
    <t>High-Voltage Switchgear</t>
  </si>
  <si>
    <t>Air Conditioning Systems</t>
  </si>
  <si>
    <t>LED Conversion</t>
  </si>
  <si>
    <t>Facility-Related</t>
  </si>
  <si>
    <t>Building-Related</t>
  </si>
  <si>
    <t>Electrical-Related</t>
  </si>
  <si>
    <t>Fire Protection-Related</t>
  </si>
  <si>
    <t xml:space="preserve">Category 2 (Facilities)    </t>
    <phoneticPr fontId="4"/>
  </si>
  <si>
    <t xml:space="preserve">New Construction    </t>
  </si>
  <si>
    <t>Claudio Santos</t>
  </si>
  <si>
    <t>Yes</t>
  </si>
  <si>
    <t>事業所名</t>
  </si>
  <si>
    <t>案件名</t>
  </si>
  <si>
    <t>Minebea AccessSolutions South America Ltda</t>
  </si>
  <si>
    <t>⑤Selection of supplier
(quality, cost, delivery, service)</t>
  </si>
  <si>
    <t>within plan or outside plan</t>
  </si>
  <si>
    <t>相見積もりと値引き交渉の結果、xx.x% x,xxx千円値引き</t>
  </si>
  <si>
    <t>①
Reason/purpose</t>
    <phoneticPr fontId="4"/>
  </si>
  <si>
    <t>・既存の室内機との整合性、空調制御の互換性を考慮し、冷媒配管も継続使用出来るxxx製を選定致しました。
・xx国内において購入可能な3社の機器比較を行い、省エネ効果があり、安価なxxx製を選定致しました。</t>
  </si>
  <si>
    <t>小池
(dd/mm/yy)</t>
  </si>
  <si>
    <t>藤田
(dd/mm/yy)</t>
  </si>
  <si>
    <t>入力箇所</t>
  </si>
  <si>
    <t>選択式</t>
  </si>
  <si>
    <t>承認</t>
  </si>
  <si>
    <t>確認</t>
  </si>
  <si>
    <t>担当</t>
  </si>
  <si>
    <t>Division</t>
  </si>
  <si>
    <t>Alexandre
Ogane</t>
  </si>
  <si>
    <t>Joerg
Hoffmann</t>
  </si>
  <si>
    <t>Evandro
 Farias</t>
  </si>
  <si>
    <t>S32-26027</t>
  </si>
  <si>
    <t xml:space="preserve">Renewal  </t>
  </si>
  <si>
    <t xml:space="preserve">Maintenance and Repair    </t>
  </si>
  <si>
    <t xml:space="preserve">Machinery and Equipment    </t>
  </si>
  <si>
    <r>
      <t xml:space="preserve">② Equipment selection
</t>
    </r>
    <r>
      <rPr>
        <b/>
        <sz val="10"/>
        <rFont val="Meiryo UI"/>
        <family val="3"/>
        <charset val="128"/>
      </rPr>
      <t>(capacity, price, energy savings)</t>
    </r>
  </si>
  <si>
    <t>受付日 : 19/06/26</t>
  </si>
  <si>
    <t>Nitrogen Generation System</t>
  </si>
  <si>
    <t>Replace an old nitrogen generation system that has been operating since 2017 on the paint line, as it is no longer in working properly order and spare parts are unavailable for maintenance.</t>
  </si>
  <si>
    <t>1.9年</t>
  </si>
  <si>
    <t>No</t>
  </si>
  <si>
    <t>GERADOR N2 – MEMBRANA - NGM35+ 230 IEC / 36m³/h @ 99,5%; / 230V / ≤ -40 °C</t>
  </si>
  <si>
    <t>Only reduction in ink consumption</t>
  </si>
  <si>
    <t>selected ATLAS COPCO as the supplier due to their competitive pricing, delivery and maintenance support</t>
  </si>
  <si>
    <t>100% 30 days after equipment arrived at Guarulhos by cash</t>
  </si>
  <si>
    <t>Purchase order: Aug/26; Delivery: Nov/26; Release and set up: Dec/26.</t>
  </si>
  <si>
    <t>⑧Cost down</t>
  </si>
  <si>
    <t>Total cost reduction：188 K-JPY(▲2.2%)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</si>
</sst>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 ;[Red]\-#,##0\ "/>
    <numFmt numFmtId="165" formatCode="0&quot;年&quot;"/>
    <numFmt numFmtId="166" formatCode="0_ ;[Red]\-0\ "/>
  </numFmts>
  <fonts count="27">
    <font>
      <sz val="11"/>
      <color theme="1"/>
      <name val="Calibri"/>
      <family val="2"/>
      <charset val="128"/>
      <scheme val="minor"/>
    </font>
    <font>
      <sz val="11"/>
      <color theme="1"/>
      <name val="Meiryo UI"/>
      <family val="2"/>
      <charset val="128"/>
    </font>
    <font>
      <sz val="11"/>
      <color theme="1"/>
      <name val="Meiryo UI"/>
      <family val="2"/>
      <charset val="128"/>
    </font>
    <font>
      <sz val="11"/>
      <color theme="1"/>
      <name val="Meiryo UI"/>
      <family val="3"/>
      <charset val="128"/>
    </font>
    <font>
      <sz val="6"/>
      <name val="Calibri"/>
      <family val="2"/>
      <charset val="128"/>
      <scheme val="minor"/>
    </font>
    <font>
      <b/>
      <sz val="22"/>
      <color theme="1"/>
      <name val="Meiryo UI"/>
      <family val="3"/>
      <charset val="128"/>
    </font>
    <font>
      <b/>
      <sz val="11"/>
      <color theme="1"/>
      <name val="Meiryo UI"/>
      <family val="3"/>
      <charset val="128"/>
    </font>
    <font>
      <b/>
      <sz val="14"/>
      <color theme="1"/>
      <name val="Meiryo UI"/>
      <family val="3"/>
      <charset val="128"/>
    </font>
    <font>
      <sz val="11"/>
      <name val="Meiryo UI"/>
      <family val="3"/>
      <charset val="128"/>
    </font>
    <font>
      <b/>
      <sz val="11"/>
      <name val="Meiryo UI"/>
      <family val="3"/>
      <charset val="128"/>
    </font>
    <font>
      <sz val="14"/>
      <color theme="1"/>
      <name val="Meiryo UI"/>
      <family val="3"/>
      <charset val="128"/>
    </font>
    <font>
      <sz val="11"/>
      <color theme="1"/>
      <name val="Calibri"/>
      <family val="2"/>
      <charset val="128"/>
      <scheme val="minor"/>
    </font>
    <font>
      <sz val="10"/>
      <name val="Meiryo UI"/>
      <family val="3"/>
      <charset val="128"/>
    </font>
    <font>
      <sz val="10"/>
      <color theme="1"/>
      <name val="Meiryo UI"/>
      <family val="3"/>
      <charset val="128"/>
    </font>
    <font>
      <b/>
      <sz val="16"/>
      <name val="Meiryo UI"/>
      <family val="3"/>
      <charset val="128"/>
    </font>
    <font>
      <sz val="12"/>
      <name val="Meiryo UI"/>
      <family val="3"/>
      <charset val="128"/>
    </font>
    <font>
      <b/>
      <sz val="12"/>
      <color theme="1"/>
      <name val="Meiryo UI"/>
      <family val="3"/>
      <charset val="128"/>
    </font>
    <font>
      <b/>
      <sz val="20"/>
      <color theme="1"/>
      <name val="Meiryo UI"/>
      <family val="3"/>
      <charset val="128"/>
    </font>
    <font>
      <sz val="14"/>
      <name val="Meiryo UI"/>
      <family val="3"/>
      <charset val="128"/>
    </font>
    <font>
      <sz val="16"/>
      <name val="Meiryo UI"/>
      <family val="3"/>
      <charset val="128"/>
    </font>
    <font>
      <b/>
      <sz val="14"/>
      <name val="Meiryo UI"/>
      <family val="3"/>
      <charset val="128"/>
    </font>
    <font>
      <sz val="11"/>
      <name val="Meiryo UI"/>
      <family val="2"/>
      <charset val="128"/>
    </font>
    <font>
      <sz val="11"/>
      <color rgb="FFFF0000"/>
      <name val="Meiryo UI"/>
      <family val="3"/>
      <charset val="128"/>
    </font>
    <font>
      <b/>
      <sz val="10"/>
      <name val="Meiryo UI"/>
      <family val="3"/>
      <charset val="128"/>
    </font>
    <font>
      <b/>
      <sz val="12"/>
      <name val="Meiryo UI"/>
      <family val="3"/>
      <charset val="128"/>
    </font>
    <font>
      <b/>
      <sz val="9"/>
      <name val="Meiryo UI"/>
      <family val="3"/>
      <charset val="128"/>
    </font>
    <font>
      <sz val="11"/>
      <name val="Calibri"/>
      <family val="2"/>
      <charset val="128"/>
      <scheme val="minor"/>
    </font>
  </fonts>
  <fills count="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thin">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diagonal/>
    </border>
    <border>
      <left style="medium">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hair">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hair">
        <color indexed="64"/>
      </left>
      <right/>
      <top style="thin">
        <color indexed="64"/>
      </top>
      <bottom style="medium">
        <color indexed="64"/>
      </bottom>
      <diagonal/>
    </border>
    <border>
      <left style="thin">
        <color indexed="64"/>
      </left>
      <right style="hair">
        <color indexed="64"/>
      </right>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s>
  <cellStyleXfs count="4">
    <xf numFmtId="0" fontId="0" fillId="0" borderId="0">
      <alignment vertical="center"/>
    </xf>
    <xf numFmtId="0" fontId="2" fillId="0" borderId="0">
      <alignment vertical="center"/>
    </xf>
    <xf numFmtId="0" fontId="1" fillId="0" borderId="0">
      <alignment vertical="center"/>
    </xf>
    <xf numFmtId="38" fontId="11" fillId="0" borderId="0" applyFont="0" applyFill="0" applyBorder="0" applyAlignment="0" applyProtection="0">
      <alignment vertical="center"/>
    </xf>
  </cellStyleXfs>
  <cellXfs count="260">
    <xf numFmtId="0" fontId="0" fillId="0" borderId="0" xfId="0">
      <alignment vertical="center"/>
    </xf>
    <xf numFmtId="0" fontId="3" fillId="0" borderId="0" xfId="0" applyFont="1">
      <alignment vertical="center"/>
    </xf>
    <xf numFmtId="0" fontId="8" fillId="0" borderId="0" xfId="0" applyFont="1">
      <alignment vertical="center"/>
    </xf>
    <xf numFmtId="0" fontId="5" fillId="0" borderId="0" xfId="0" applyFont="1">
      <alignment vertical="center"/>
    </xf>
    <xf numFmtId="0" fontId="6" fillId="0" borderId="5" xfId="0" applyFont="1" applyBorder="1">
      <alignment vertical="center"/>
    </xf>
    <xf numFmtId="0" fontId="7" fillId="0" borderId="7" xfId="0" applyFont="1" applyBorder="1">
      <alignment vertical="center"/>
    </xf>
    <xf numFmtId="0" fontId="6" fillId="0" borderId="1" xfId="0" applyFont="1" applyBorder="1">
      <alignment vertical="center"/>
    </xf>
    <xf numFmtId="0" fontId="7" fillId="0" borderId="10" xfId="0" applyFont="1" applyBorder="1">
      <alignment vertical="center"/>
    </xf>
    <xf numFmtId="0" fontId="6" fillId="0" borderId="20" xfId="0" applyFont="1" applyBorder="1" applyAlignment="1">
      <alignment horizontal="center" vertical="center"/>
    </xf>
    <xf numFmtId="164" fontId="3" fillId="0" borderId="12" xfId="0" applyNumberFormat="1" applyFont="1" applyBorder="1">
      <alignment vertical="center"/>
    </xf>
    <xf numFmtId="164" fontId="6" fillId="0" borderId="14" xfId="0" applyNumberFormat="1" applyFont="1" applyBorder="1" applyAlignment="1">
      <alignment horizontal="center" vertical="center"/>
    </xf>
    <xf numFmtId="0" fontId="7" fillId="0" borderId="7" xfId="0" applyFont="1" applyBorder="1" applyAlignment="1">
      <alignment vertical="center" wrapText="1"/>
    </xf>
    <xf numFmtId="0" fontId="6" fillId="0" borderId="1" xfId="0" applyFont="1" applyBorder="1" applyAlignment="1">
      <alignment horizontal="left" vertical="center" wrapText="1"/>
    </xf>
    <xf numFmtId="166" fontId="6" fillId="0" borderId="0" xfId="0" applyNumberFormat="1" applyFont="1">
      <alignment vertical="center"/>
    </xf>
    <xf numFmtId="166" fontId="3" fillId="0" borderId="0" xfId="0" applyNumberFormat="1" applyFont="1">
      <alignment vertical="center"/>
    </xf>
    <xf numFmtId="166" fontId="6" fillId="0" borderId="0" xfId="0" applyNumberFormat="1" applyFont="1" applyAlignment="1">
      <alignment horizontal="center" vertical="center"/>
    </xf>
    <xf numFmtId="166" fontId="3" fillId="0" borderId="0" xfId="0" applyNumberFormat="1" applyFont="1" applyAlignment="1">
      <alignment horizontal="center" vertical="center"/>
    </xf>
    <xf numFmtId="38" fontId="3" fillId="0" borderId="0" xfId="3" applyFont="1">
      <alignment vertical="center"/>
    </xf>
    <xf numFmtId="0" fontId="12" fillId="0" borderId="34" xfId="0" applyFont="1" applyBorder="1" applyAlignment="1">
      <alignment horizontal="left" vertical="top" wrapText="1"/>
    </xf>
    <xf numFmtId="0" fontId="12" fillId="0" borderId="0" xfId="0" applyFont="1" applyAlignment="1">
      <alignment horizontal="left" vertical="top" wrapText="1"/>
    </xf>
    <xf numFmtId="0" fontId="3" fillId="0" borderId="16" xfId="0" applyFont="1" applyBorder="1">
      <alignment vertical="center"/>
    </xf>
    <xf numFmtId="0" fontId="9" fillId="0" borderId="1" xfId="0" applyFont="1" applyBorder="1" applyAlignment="1">
      <alignment horizontal="left" vertical="center"/>
    </xf>
    <xf numFmtId="0" fontId="12" fillId="0" borderId="47" xfId="0" applyFont="1" applyBorder="1" applyAlignment="1">
      <alignment horizontal="left" vertical="top" wrapText="1"/>
    </xf>
    <xf numFmtId="0" fontId="12" fillId="0" borderId="51" xfId="0" applyFont="1" applyBorder="1" applyAlignment="1">
      <alignment horizontal="left" vertical="top" wrapText="1"/>
    </xf>
    <xf numFmtId="0" fontId="12" fillId="0" borderId="52" xfId="0" applyFont="1" applyBorder="1" applyAlignment="1">
      <alignment horizontal="left" vertical="top" wrapText="1"/>
    </xf>
    <xf numFmtId="0" fontId="12" fillId="0" borderId="53" xfId="0" applyFont="1" applyBorder="1" applyAlignment="1">
      <alignment horizontal="left" vertical="top" wrapText="1"/>
    </xf>
    <xf numFmtId="0" fontId="15" fillId="0" borderId="62" xfId="0" applyFont="1" applyBorder="1" applyAlignment="1">
      <alignment horizontal="center" vertical="center" wrapText="1"/>
    </xf>
    <xf numFmtId="0" fontId="7" fillId="2" borderId="1" xfId="0" applyFont="1" applyFill="1" applyBorder="1" applyAlignment="1">
      <alignment vertical="center" wrapText="1"/>
    </xf>
    <xf numFmtId="164" fontId="3" fillId="2" borderId="2" xfId="0" applyNumberFormat="1" applyFont="1" applyFill="1" applyBorder="1" applyAlignment="1">
      <alignment vertical="center" wrapText="1"/>
    </xf>
    <xf numFmtId="166" fontId="6" fillId="0" borderId="0" xfId="0" applyNumberFormat="1" applyFont="1" applyAlignment="1">
      <alignment horizontal="left" vertical="center"/>
    </xf>
    <xf numFmtId="0" fontId="7" fillId="0" borderId="4" xfId="0" applyFont="1" applyBorder="1">
      <alignment vertical="center"/>
    </xf>
    <xf numFmtId="0" fontId="7" fillId="0" borderId="0" xfId="0" applyFont="1">
      <alignment vertical="center"/>
    </xf>
    <xf numFmtId="0" fontId="7" fillId="0" borderId="45" xfId="0" applyFont="1" applyBorder="1" applyAlignment="1">
      <alignment vertical="center" wrapText="1"/>
    </xf>
    <xf numFmtId="0" fontId="15" fillId="0" borderId="48" xfId="0" applyFont="1" applyBorder="1" applyAlignment="1">
      <alignment horizontal="center" vertical="center" wrapText="1"/>
    </xf>
    <xf numFmtId="0" fontId="14" fillId="0" borderId="49" xfId="0" applyFont="1" applyBorder="1" applyAlignment="1">
      <alignment horizontal="center" vertical="center" wrapText="1"/>
    </xf>
    <xf numFmtId="164" fontId="14" fillId="0" borderId="12" xfId="0" applyNumberFormat="1" applyFont="1" applyBorder="1" applyAlignment="1">
      <alignment horizontal="center" vertical="center"/>
    </xf>
    <xf numFmtId="0" fontId="18" fillId="0" borderId="69" xfId="0" applyFont="1" applyBorder="1" applyAlignment="1">
      <alignment horizontal="center" vertical="center" wrapText="1"/>
    </xf>
    <xf numFmtId="0" fontId="3" fillId="3" borderId="0" xfId="0" applyFont="1" applyFill="1" applyAlignment="1">
      <alignment horizontal="center" vertical="center"/>
    </xf>
    <xf numFmtId="0" fontId="10" fillId="0" borderId="24" xfId="0" applyFont="1" applyBorder="1" applyAlignment="1">
      <alignment horizontal="center" vertical="center"/>
    </xf>
    <xf numFmtId="0" fontId="10" fillId="0" borderId="37" xfId="0" applyFont="1" applyBorder="1" applyAlignment="1">
      <alignment horizontal="center" vertical="center"/>
    </xf>
    <xf numFmtId="0" fontId="10" fillId="0" borderId="26" xfId="0" quotePrefix="1" applyFont="1" applyBorder="1" applyAlignment="1">
      <alignment horizontal="center" vertical="center"/>
    </xf>
    <xf numFmtId="14" fontId="3" fillId="3" borderId="27" xfId="0" applyNumberFormat="1" applyFont="1" applyFill="1" applyBorder="1" applyAlignment="1">
      <alignment horizontal="center" vertical="center"/>
    </xf>
    <xf numFmtId="14" fontId="3" fillId="3" borderId="63" xfId="0" applyNumberFormat="1" applyFont="1" applyFill="1" applyBorder="1" applyAlignment="1">
      <alignment horizontal="center" vertical="center"/>
    </xf>
    <xf numFmtId="14" fontId="3" fillId="3" borderId="64" xfId="0" applyNumberFormat="1" applyFont="1" applyFill="1" applyBorder="1" applyAlignment="1">
      <alignment horizontal="center" vertical="center"/>
    </xf>
    <xf numFmtId="0" fontId="3" fillId="3" borderId="22"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65" xfId="0" quotePrefix="1" applyFont="1" applyFill="1" applyBorder="1" applyAlignment="1">
      <alignment horizontal="center" vertical="center"/>
    </xf>
    <xf numFmtId="0" fontId="10" fillId="3" borderId="0" xfId="0" applyFont="1" applyFill="1">
      <alignment vertical="center"/>
    </xf>
    <xf numFmtId="0" fontId="3" fillId="3" borderId="0" xfId="0" applyFont="1" applyFill="1">
      <alignment vertical="center"/>
    </xf>
    <xf numFmtId="0" fontId="3" fillId="4" borderId="2" xfId="0" applyFont="1" applyFill="1" applyBorder="1" applyAlignment="1">
      <alignment vertical="center" wrapText="1"/>
    </xf>
    <xf numFmtId="0" fontId="3" fillId="4" borderId="0" xfId="0" applyFont="1" applyFill="1" applyAlignment="1">
      <alignment horizontal="center" vertical="center"/>
    </xf>
    <xf numFmtId="0" fontId="3" fillId="4" borderId="5"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8" fillId="4" borderId="8"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5" xfId="0" applyFont="1" applyFill="1" applyBorder="1" applyAlignment="1">
      <alignment horizontal="center" vertical="center"/>
    </xf>
    <xf numFmtId="0" fontId="8" fillId="4" borderId="8"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3" fillId="4" borderId="9" xfId="0" applyFont="1" applyFill="1" applyBorder="1" applyAlignment="1">
      <alignment horizontal="center" vertical="center"/>
    </xf>
    <xf numFmtId="0" fontId="8" fillId="3" borderId="8" xfId="0" applyFont="1" applyFill="1" applyBorder="1" applyAlignment="1">
      <alignment horizontal="center" vertical="center"/>
    </xf>
    <xf numFmtId="165" fontId="6" fillId="3" borderId="1" xfId="0" applyNumberFormat="1" applyFont="1" applyFill="1" applyBorder="1" applyAlignment="1">
      <alignment horizontal="center" vertical="center"/>
    </xf>
    <xf numFmtId="164" fontId="3" fillId="3" borderId="32" xfId="0" applyNumberFormat="1" applyFont="1" applyFill="1" applyBorder="1" applyAlignment="1">
      <alignment horizontal="center" vertical="center"/>
    </xf>
    <xf numFmtId="0" fontId="18" fillId="0" borderId="70" xfId="0" applyFont="1" applyBorder="1" applyAlignment="1">
      <alignment horizontal="center" vertical="center" wrapText="1"/>
    </xf>
    <xf numFmtId="164" fontId="6" fillId="2" borderId="8" xfId="0" applyNumberFormat="1" applyFont="1" applyFill="1" applyBorder="1">
      <alignment vertical="center"/>
    </xf>
    <xf numFmtId="0" fontId="19" fillId="4" borderId="18" xfId="0" applyFont="1" applyFill="1" applyBorder="1" applyAlignment="1">
      <alignment horizontal="center" vertical="center"/>
    </xf>
    <xf numFmtId="0" fontId="3" fillId="0" borderId="0" xfId="0" applyFont="1" applyAlignment="1">
      <alignment horizontal="center" vertical="center"/>
    </xf>
    <xf numFmtId="0" fontId="10" fillId="0" borderId="0" xfId="0" applyFont="1">
      <alignment vertical="center"/>
    </xf>
    <xf numFmtId="0" fontId="7" fillId="0" borderId="1" xfId="0" applyFont="1" applyBorder="1" applyAlignment="1">
      <alignment vertical="center" wrapText="1"/>
    </xf>
    <xf numFmtId="164" fontId="3" fillId="0" borderId="2" xfId="0" applyNumberFormat="1" applyFont="1" applyBorder="1" applyAlignment="1">
      <alignment vertical="center" wrapText="1"/>
    </xf>
    <xf numFmtId="164" fontId="6" fillId="0" borderId="8" xfId="0" applyNumberFormat="1" applyFont="1" applyBorder="1">
      <alignment vertical="center"/>
    </xf>
    <xf numFmtId="38" fontId="20" fillId="3" borderId="11" xfId="3" applyFont="1" applyFill="1" applyBorder="1" applyAlignment="1">
      <alignment horizontal="right" vertical="center"/>
    </xf>
    <xf numFmtId="0" fontId="3" fillId="5" borderId="2" xfId="0" applyFont="1" applyFill="1" applyBorder="1" applyAlignment="1">
      <alignment vertical="center" wrapText="1"/>
    </xf>
    <xf numFmtId="0" fontId="3" fillId="5" borderId="1"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8" fillId="5" borderId="8"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19" fillId="5" borderId="18" xfId="0" applyFont="1" applyFill="1" applyBorder="1" applyAlignment="1">
      <alignment horizontal="center" vertical="center"/>
    </xf>
    <xf numFmtId="164" fontId="3" fillId="3" borderId="12" xfId="0" applyNumberFormat="1" applyFont="1" applyFill="1" applyBorder="1">
      <alignment vertical="center"/>
    </xf>
    <xf numFmtId="0" fontId="3" fillId="5" borderId="9" xfId="0" applyFont="1" applyFill="1" applyBorder="1" applyAlignment="1">
      <alignment horizontal="center" vertical="center"/>
    </xf>
    <xf numFmtId="0" fontId="9" fillId="0" borderId="1" xfId="0" applyFont="1" applyBorder="1" applyAlignment="1">
      <alignment horizontal="left" vertical="center" wrapText="1"/>
    </xf>
    <xf numFmtId="166" fontId="3" fillId="0" borderId="0" xfId="0" applyNumberFormat="1" applyFont="1" applyAlignment="1">
      <alignment horizontal="left" vertical="center"/>
    </xf>
    <xf numFmtId="14" fontId="3" fillId="3" borderId="63" xfId="0" applyNumberFormat="1" applyFont="1" applyFill="1" applyBorder="1" applyAlignment="1">
      <alignment horizontal="center" vertical="center" wrapText="1"/>
    </xf>
    <xf numFmtId="14" fontId="3" fillId="3" borderId="27" xfId="0" applyNumberFormat="1" applyFont="1" applyFill="1" applyBorder="1" applyAlignment="1">
      <alignment horizontal="center" vertical="center" wrapText="1"/>
    </xf>
    <xf numFmtId="14" fontId="3" fillId="3" borderId="64" xfId="0" applyNumberFormat="1" applyFont="1" applyFill="1" applyBorder="1" applyAlignment="1">
      <alignment horizontal="center" vertical="center" wrapText="1"/>
    </xf>
    <xf numFmtId="0" fontId="7" fillId="0" borderId="50" xfId="0" applyFont="1" applyBorder="1" applyAlignment="1">
      <alignment horizontal="left" vertical="center" wrapText="1"/>
    </xf>
    <xf numFmtId="0" fontId="7" fillId="0" borderId="33" xfId="0" applyFont="1" applyBorder="1" applyAlignment="1">
      <alignment horizontal="left" vertical="center" wrapText="1"/>
    </xf>
    <xf numFmtId="0" fontId="7" fillId="0" borderId="55" xfId="0" applyFont="1" applyBorder="1" applyAlignment="1">
      <alignment horizontal="left" vertical="center" wrapText="1"/>
    </xf>
    <xf numFmtId="0" fontId="13" fillId="0" borderId="56" xfId="0" applyFont="1" applyBorder="1" applyAlignment="1">
      <alignment horizontal="left" vertical="top" wrapText="1"/>
    </xf>
    <xf numFmtId="0" fontId="13" fillId="0" borderId="57" xfId="0" applyFont="1" applyBorder="1" applyAlignment="1">
      <alignment horizontal="left" vertical="top" wrapText="1"/>
    </xf>
    <xf numFmtId="0" fontId="13" fillId="0" borderId="57" xfId="0" applyFont="1" applyBorder="1" applyAlignment="1">
      <alignment horizontal="left" vertical="top"/>
    </xf>
    <xf numFmtId="0" fontId="13" fillId="0" borderId="58" xfId="0" applyFont="1" applyBorder="1" applyAlignment="1">
      <alignment horizontal="left" vertical="top"/>
    </xf>
    <xf numFmtId="0" fontId="7" fillId="0" borderId="27" xfId="0" applyFont="1" applyBorder="1" applyAlignment="1">
      <alignment horizontal="left" vertical="center" wrapText="1"/>
    </xf>
    <xf numFmtId="0" fontId="7" fillId="0" borderId="13" xfId="0" applyFont="1" applyBorder="1" applyAlignment="1">
      <alignment horizontal="left" vertical="center" wrapText="1"/>
    </xf>
    <xf numFmtId="0" fontId="12" fillId="0" borderId="28" xfId="0" applyFont="1" applyBorder="1" applyAlignment="1">
      <alignment horizontal="left" vertical="top" wrapText="1"/>
    </xf>
    <xf numFmtId="0" fontId="12" fillId="0" borderId="29" xfId="0" applyFont="1" applyBorder="1" applyAlignment="1">
      <alignment horizontal="left" vertical="top" wrapText="1"/>
    </xf>
    <xf numFmtId="0" fontId="12" fillId="0" borderId="29" xfId="0" applyFont="1" applyBorder="1" applyAlignment="1">
      <alignment horizontal="left" vertical="top"/>
    </xf>
    <xf numFmtId="0" fontId="12" fillId="0" borderId="54" xfId="0" applyFont="1" applyBorder="1" applyAlignment="1">
      <alignment horizontal="left" vertical="top"/>
    </xf>
    <xf numFmtId="0" fontId="12" fillId="0" borderId="39" xfId="0" applyFont="1" applyBorder="1" applyAlignment="1">
      <alignment horizontal="left" vertical="top" wrapText="1"/>
    </xf>
    <xf numFmtId="0" fontId="12" fillId="0" borderId="40" xfId="0" applyFont="1" applyBorder="1" applyAlignment="1">
      <alignment horizontal="left" vertical="top" wrapText="1"/>
    </xf>
    <xf numFmtId="0" fontId="12" fillId="0" borderId="40" xfId="0" applyFont="1" applyBorder="1" applyAlignment="1">
      <alignment horizontal="left" vertical="top"/>
    </xf>
    <xf numFmtId="0" fontId="12" fillId="0" borderId="41" xfId="0" applyFont="1" applyBorder="1" applyAlignment="1">
      <alignment horizontal="left" vertical="top"/>
    </xf>
    <xf numFmtId="0" fontId="12" fillId="0" borderId="59" xfId="0" applyFont="1" applyBorder="1" applyAlignment="1">
      <alignment horizontal="left" vertical="top" wrapText="1"/>
    </xf>
    <xf numFmtId="0" fontId="12" fillId="0" borderId="60" xfId="0" applyFont="1" applyBorder="1" applyAlignment="1">
      <alignment horizontal="left" vertical="top" wrapText="1"/>
    </xf>
    <xf numFmtId="0" fontId="12" fillId="0" borderId="61" xfId="0" applyFont="1" applyBorder="1" applyAlignment="1">
      <alignment horizontal="left" vertical="top" wrapText="1"/>
    </xf>
    <xf numFmtId="0" fontId="14" fillId="0" borderId="66" xfId="0" applyFont="1" applyBorder="1" applyAlignment="1">
      <alignment horizontal="center" vertical="center" wrapText="1"/>
    </xf>
    <xf numFmtId="0" fontId="14" fillId="0" borderId="38" xfId="0" applyFont="1" applyBorder="1" applyAlignment="1">
      <alignment horizontal="center" vertical="center" wrapText="1"/>
    </xf>
    <xf numFmtId="0" fontId="6" fillId="0" borderId="16" xfId="0" applyFont="1" applyBorder="1" applyAlignment="1">
      <alignment horizontal="center" vertical="center"/>
    </xf>
    <xf numFmtId="0" fontId="6" fillId="0" borderId="68" xfId="0" applyFont="1" applyBorder="1" applyAlignment="1">
      <alignment horizontal="center" vertical="center"/>
    </xf>
    <xf numFmtId="0" fontId="6" fillId="0" borderId="17" xfId="0" applyFont="1" applyBorder="1" applyAlignment="1">
      <alignment horizontal="center" vertical="center"/>
    </xf>
    <xf numFmtId="0" fontId="6" fillId="0" borderId="67" xfId="0" applyFont="1" applyBorder="1" applyAlignment="1">
      <alignment horizontal="center" vertical="top" wrapText="1"/>
    </xf>
    <xf numFmtId="0" fontId="6" fillId="0" borderId="68" xfId="0" applyFont="1" applyBorder="1" applyAlignment="1">
      <alignment horizontal="center" vertical="top" wrapText="1"/>
    </xf>
    <xf numFmtId="0" fontId="6" fillId="0" borderId="17" xfId="0" applyFont="1" applyBorder="1" applyAlignment="1">
      <alignment horizontal="center" vertical="top" wrapText="1"/>
    </xf>
    <xf numFmtId="0" fontId="8" fillId="3" borderId="28" xfId="0" applyFont="1" applyFill="1" applyBorder="1" applyAlignment="1">
      <alignment horizontal="left" vertical="center" wrapText="1"/>
    </xf>
    <xf numFmtId="0" fontId="8" fillId="3" borderId="29" xfId="0" applyFont="1" applyFill="1" applyBorder="1" applyAlignment="1">
      <alignment horizontal="left" vertical="center" wrapText="1"/>
    </xf>
    <xf numFmtId="0" fontId="8" fillId="3" borderId="30" xfId="0" applyFont="1" applyFill="1" applyBorder="1" applyAlignment="1">
      <alignment horizontal="left" vertical="center" wrapText="1"/>
    </xf>
    <xf numFmtId="0" fontId="8" fillId="3" borderId="34"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35"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3" borderId="15" xfId="0" applyFont="1" applyFill="1" applyBorder="1" applyAlignment="1">
      <alignment horizontal="left" vertical="center" wrapText="1"/>
    </xf>
    <xf numFmtId="0" fontId="8" fillId="3" borderId="31"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8" fillId="3" borderId="19" xfId="0" applyFont="1" applyFill="1" applyBorder="1" applyAlignment="1">
      <alignment horizontal="left" vertical="center" wrapText="1"/>
    </xf>
    <xf numFmtId="0" fontId="10" fillId="0" borderId="24" xfId="0" applyFont="1" applyBorder="1" applyAlignment="1">
      <alignment horizontal="center" vertical="center"/>
    </xf>
    <xf numFmtId="0" fontId="10" fillId="0" borderId="36" xfId="0" applyFont="1" applyBorder="1" applyAlignment="1">
      <alignment horizontal="center" vertical="center"/>
    </xf>
    <xf numFmtId="0" fontId="10" fillId="0" borderId="25" xfId="0" applyFont="1" applyBorder="1" applyAlignment="1">
      <alignment horizontal="center" vertical="center"/>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19" xfId="0" applyFont="1" applyFill="1" applyBorder="1" applyAlignment="1">
      <alignment horizontal="left" vertical="center"/>
    </xf>
    <xf numFmtId="0" fontId="3" fillId="3" borderId="2" xfId="0" applyFont="1" applyFill="1" applyBorder="1" applyAlignment="1">
      <alignment horizontal="center" vertical="center"/>
    </xf>
    <xf numFmtId="0" fontId="3" fillId="3" borderId="9" xfId="0" applyFont="1" applyFill="1" applyBorder="1" applyAlignment="1">
      <alignment horizontal="center" vertical="center"/>
    </xf>
    <xf numFmtId="0" fontId="21" fillId="3" borderId="11" xfId="0" applyFont="1" applyFill="1" applyBorder="1" applyAlignment="1">
      <alignment horizontal="left" vertical="center" wrapText="1"/>
    </xf>
    <xf numFmtId="0" fontId="21" fillId="3" borderId="44" xfId="0" applyFont="1" applyFill="1" applyBorder="1" applyAlignment="1">
      <alignment horizontal="left" vertical="center" wrapText="1"/>
    </xf>
    <xf numFmtId="0" fontId="21" fillId="3" borderId="21" xfId="0" applyFont="1" applyFill="1" applyBorder="1" applyAlignment="1">
      <alignment horizontal="left" vertical="center" wrapText="1"/>
    </xf>
    <xf numFmtId="0" fontId="21" fillId="3" borderId="2" xfId="0" applyFont="1" applyFill="1" applyBorder="1" applyAlignment="1">
      <alignment horizontal="left" vertical="center" wrapText="1"/>
    </xf>
    <xf numFmtId="0" fontId="21" fillId="3" borderId="3" xfId="0" applyFont="1" applyFill="1" applyBorder="1" applyAlignment="1">
      <alignment horizontal="left" vertical="center"/>
    </xf>
    <xf numFmtId="0" fontId="21" fillId="3" borderId="9" xfId="0" applyFont="1" applyFill="1" applyBorder="1" applyAlignment="1">
      <alignment horizontal="left" vertical="center"/>
    </xf>
    <xf numFmtId="0" fontId="0" fillId="3" borderId="3" xfId="0" applyFill="1" applyBorder="1" applyAlignment="1">
      <alignment vertical="center" wrapText="1"/>
    </xf>
    <xf numFmtId="0" fontId="0" fillId="3" borderId="19" xfId="0" applyFill="1" applyBorder="1" applyAlignment="1">
      <alignment vertical="center" wrapText="1"/>
    </xf>
    <xf numFmtId="0" fontId="21" fillId="3" borderId="28" xfId="0" applyFont="1" applyFill="1" applyBorder="1" applyAlignment="1">
      <alignment horizontal="left" vertical="center" wrapText="1"/>
    </xf>
    <xf numFmtId="0" fontId="21" fillId="3" borderId="29" xfId="0" applyFont="1" applyFill="1" applyBorder="1" applyAlignment="1">
      <alignment horizontal="left" vertical="center" wrapText="1"/>
    </xf>
    <xf numFmtId="0" fontId="21" fillId="3" borderId="30" xfId="0" applyFont="1" applyFill="1" applyBorder="1" applyAlignment="1">
      <alignment horizontal="left" vertical="center" wrapText="1"/>
    </xf>
    <xf numFmtId="0" fontId="21" fillId="3" borderId="34" xfId="0" applyFont="1" applyFill="1" applyBorder="1" applyAlignment="1">
      <alignment horizontal="left" vertical="center" wrapText="1"/>
    </xf>
    <xf numFmtId="0" fontId="21" fillId="3" borderId="0" xfId="0" applyFont="1" applyFill="1" applyAlignment="1">
      <alignment horizontal="left" vertical="center" wrapText="1"/>
    </xf>
    <xf numFmtId="0" fontId="21" fillId="3" borderId="35" xfId="0" applyFont="1" applyFill="1" applyBorder="1" applyAlignment="1">
      <alignment horizontal="left" vertical="center" wrapText="1"/>
    </xf>
    <xf numFmtId="0" fontId="21" fillId="3" borderId="3"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44" xfId="0" applyFont="1" applyFill="1" applyBorder="1" applyAlignment="1">
      <alignment horizontal="left" vertical="center" wrapText="1"/>
    </xf>
    <xf numFmtId="0" fontId="3" fillId="3" borderId="21" xfId="0" applyFont="1" applyFill="1" applyBorder="1" applyAlignment="1">
      <alignment horizontal="left" vertical="center" wrapText="1"/>
    </xf>
    <xf numFmtId="0" fontId="3" fillId="3" borderId="28" xfId="0" applyFont="1" applyFill="1" applyBorder="1" applyAlignment="1">
      <alignment horizontal="left" vertical="top" wrapText="1"/>
    </xf>
    <xf numFmtId="0" fontId="3" fillId="3" borderId="29" xfId="0" applyFont="1" applyFill="1" applyBorder="1" applyAlignment="1">
      <alignment horizontal="left" vertical="top" wrapText="1"/>
    </xf>
    <xf numFmtId="0" fontId="3" fillId="3" borderId="30" xfId="0" applyFont="1" applyFill="1" applyBorder="1" applyAlignment="1">
      <alignment horizontal="left" vertical="top" wrapText="1"/>
    </xf>
    <xf numFmtId="0" fontId="3" fillId="3" borderId="34" xfId="0" applyFont="1" applyFill="1" applyBorder="1" applyAlignment="1">
      <alignment horizontal="left" vertical="top" wrapText="1"/>
    </xf>
    <xf numFmtId="0" fontId="3" fillId="3" borderId="0" xfId="0" applyFont="1" applyFill="1" applyAlignment="1">
      <alignment horizontal="left" vertical="top" wrapText="1"/>
    </xf>
    <xf numFmtId="0" fontId="3" fillId="3" borderId="35"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15" xfId="0" applyFont="1" applyFill="1" applyBorder="1" applyAlignment="1">
      <alignment horizontal="left" vertical="top" wrapText="1"/>
    </xf>
    <xf numFmtId="0" fontId="3" fillId="3" borderId="31" xfId="0" applyFont="1" applyFill="1" applyBorder="1" applyAlignment="1">
      <alignment horizontal="left" vertical="top" wrapText="1"/>
    </xf>
    <xf numFmtId="164" fontId="10" fillId="0" borderId="16" xfId="0" applyNumberFormat="1" applyFont="1" applyBorder="1" applyAlignment="1">
      <alignment horizontal="center" vertical="center"/>
    </xf>
    <xf numFmtId="164" fontId="10" fillId="0" borderId="17" xfId="0" applyNumberFormat="1" applyFont="1" applyBorder="1" applyAlignment="1">
      <alignment horizontal="center" vertical="center"/>
    </xf>
    <xf numFmtId="0" fontId="8" fillId="3" borderId="2" xfId="0" applyFont="1" applyFill="1" applyBorder="1" applyAlignment="1">
      <alignment horizontal="left" vertical="top"/>
    </xf>
    <xf numFmtId="0" fontId="8" fillId="3" borderId="3" xfId="0" applyFont="1" applyFill="1" applyBorder="1" applyAlignment="1">
      <alignment horizontal="left" vertical="top"/>
    </xf>
    <xf numFmtId="0" fontId="8" fillId="3" borderId="9" xfId="0" applyFont="1" applyFill="1" applyBorder="1" applyAlignment="1">
      <alignment horizontal="left" vertical="top"/>
    </xf>
    <xf numFmtId="0" fontId="3" fillId="3" borderId="11" xfId="0" applyFont="1" applyFill="1" applyBorder="1" applyAlignment="1">
      <alignment horizontal="left" vertical="top"/>
    </xf>
    <xf numFmtId="0" fontId="3" fillId="3" borderId="44" xfId="0" applyFont="1" applyFill="1" applyBorder="1" applyAlignment="1">
      <alignment horizontal="left" vertical="top"/>
    </xf>
    <xf numFmtId="0" fontId="3" fillId="3" borderId="12" xfId="0" applyFont="1" applyFill="1" applyBorder="1" applyAlignment="1">
      <alignment horizontal="left" vertical="top"/>
    </xf>
    <xf numFmtId="0" fontId="7" fillId="0" borderId="45" xfId="0" applyFont="1" applyBorder="1" applyAlignment="1">
      <alignment horizontal="left" vertical="center" wrapText="1"/>
    </xf>
    <xf numFmtId="0" fontId="3" fillId="3" borderId="46" xfId="0" applyFont="1" applyFill="1" applyBorder="1" applyAlignment="1">
      <alignment horizontal="left" vertical="top" wrapText="1"/>
    </xf>
    <xf numFmtId="0" fontId="3" fillId="3" borderId="42" xfId="0" applyFont="1" applyFill="1" applyBorder="1" applyAlignment="1">
      <alignment horizontal="left" vertical="top" wrapText="1"/>
    </xf>
    <xf numFmtId="0" fontId="3" fillId="3" borderId="43" xfId="0" applyFont="1" applyFill="1" applyBorder="1" applyAlignment="1">
      <alignment horizontal="left" vertical="top" wrapText="1"/>
    </xf>
    <xf numFmtId="0" fontId="0" fillId="3" borderId="14" xfId="0" applyFill="1" applyBorder="1" applyAlignment="1">
      <alignment horizontal="left" vertical="top" wrapText="1"/>
    </xf>
    <xf numFmtId="0" fontId="0" fillId="3" borderId="15" xfId="0" applyFill="1" applyBorder="1" applyAlignment="1">
      <alignment horizontal="left" vertical="top" wrapText="1"/>
    </xf>
    <xf numFmtId="0" fontId="0" fillId="3" borderId="31" xfId="0" applyFill="1" applyBorder="1" applyAlignment="1">
      <alignment horizontal="left" vertical="top" wrapText="1"/>
    </xf>
    <xf numFmtId="0" fontId="8" fillId="3" borderId="2" xfId="0" applyFont="1" applyFill="1" applyBorder="1" applyAlignment="1">
      <alignment horizontal="left" vertical="top" wrapText="1"/>
    </xf>
    <xf numFmtId="0" fontId="8" fillId="3" borderId="3" xfId="0" applyFont="1" applyFill="1" applyBorder="1" applyAlignment="1">
      <alignment horizontal="left" vertical="top" wrapText="1"/>
    </xf>
    <xf numFmtId="0" fontId="12" fillId="0" borderId="77" xfId="0" applyFont="1" applyBorder="1" applyAlignment="1">
      <alignment horizontal="left" vertical="top" wrapText="1"/>
    </xf>
    <xf numFmtId="0" fontId="12" fillId="0" borderId="78" xfId="0" applyFont="1" applyBorder="1" applyAlignment="1">
      <alignment horizontal="left" vertical="top" wrapText="1"/>
    </xf>
    <xf numFmtId="0" fontId="12" fillId="0" borderId="78" xfId="0" applyFont="1" applyBorder="1" applyAlignment="1">
      <alignment horizontal="left" vertical="top"/>
    </xf>
    <xf numFmtId="0" fontId="12" fillId="0" borderId="79" xfId="0" applyFont="1" applyBorder="1" applyAlignment="1">
      <alignment horizontal="left" vertical="top"/>
    </xf>
    <xf numFmtId="0" fontId="12" fillId="0" borderId="56" xfId="0" applyFont="1" applyBorder="1" applyAlignment="1">
      <alignment horizontal="left" vertical="top" wrapText="1"/>
    </xf>
    <xf numFmtId="0" fontId="12" fillId="0" borderId="57" xfId="0" applyFont="1" applyBorder="1" applyAlignment="1">
      <alignment horizontal="left" vertical="top" wrapText="1"/>
    </xf>
    <xf numFmtId="0" fontId="12" fillId="0" borderId="57" xfId="0" applyFont="1" applyBorder="1" applyAlignment="1">
      <alignment horizontal="left" vertical="top"/>
    </xf>
    <xf numFmtId="0" fontId="12" fillId="0" borderId="58" xfId="0" applyFont="1" applyBorder="1" applyAlignment="1">
      <alignment horizontal="left" vertical="top"/>
    </xf>
    <xf numFmtId="0" fontId="7" fillId="0" borderId="4" xfId="0" applyFont="1" applyBorder="1" applyAlignment="1">
      <alignment horizontal="left" vertical="center" wrapText="1"/>
    </xf>
    <xf numFmtId="0" fontId="7" fillId="0" borderId="7" xfId="0" applyFont="1" applyBorder="1" applyAlignment="1">
      <alignment horizontal="left" vertical="center" wrapText="1"/>
    </xf>
    <xf numFmtId="0" fontId="12" fillId="0" borderId="16" xfId="0" applyFont="1" applyBorder="1" applyAlignment="1">
      <alignment horizontal="left" vertical="top" wrapText="1"/>
    </xf>
    <xf numFmtId="0" fontId="12" fillId="0" borderId="68" xfId="0" applyFont="1" applyBorder="1" applyAlignment="1">
      <alignment horizontal="left" vertical="top" wrapText="1"/>
    </xf>
    <xf numFmtId="0" fontId="12" fillId="0" borderId="68" xfId="0" applyFont="1" applyBorder="1" applyAlignment="1">
      <alignment horizontal="left" vertical="top"/>
    </xf>
    <xf numFmtId="0" fontId="12" fillId="0" borderId="17" xfId="0" applyFont="1" applyBorder="1" applyAlignment="1">
      <alignment horizontal="left" vertical="top"/>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2" fillId="0" borderId="3" xfId="0" applyFont="1" applyBorder="1" applyAlignment="1">
      <alignment horizontal="left" vertical="top"/>
    </xf>
    <xf numFmtId="0" fontId="12" fillId="0" borderId="9" xfId="0" applyFont="1" applyBorder="1" applyAlignment="1">
      <alignment horizontal="left" vertical="top"/>
    </xf>
    <xf numFmtId="0" fontId="12" fillId="0" borderId="71" xfId="0" applyFont="1" applyBorder="1" applyAlignment="1">
      <alignment horizontal="left" vertical="top" wrapText="1"/>
    </xf>
    <xf numFmtId="0" fontId="12" fillId="0" borderId="72" xfId="0" applyFont="1" applyBorder="1" applyAlignment="1">
      <alignment horizontal="left" vertical="top" wrapText="1"/>
    </xf>
    <xf numFmtId="0" fontId="12" fillId="0" borderId="72" xfId="0" applyFont="1" applyBorder="1" applyAlignment="1">
      <alignment horizontal="left" vertical="top"/>
    </xf>
    <xf numFmtId="0" fontId="12" fillId="0" borderId="73" xfId="0" applyFont="1" applyBorder="1" applyAlignment="1">
      <alignment horizontal="left" vertical="top"/>
    </xf>
    <xf numFmtId="0" fontId="12" fillId="0" borderId="74" xfId="0" applyFont="1" applyBorder="1" applyAlignment="1">
      <alignment horizontal="left" vertical="top" wrapText="1"/>
    </xf>
    <xf numFmtId="0" fontId="12" fillId="0" borderId="75" xfId="0" applyFont="1" applyBorder="1" applyAlignment="1">
      <alignment horizontal="left" vertical="top" wrapText="1"/>
    </xf>
    <xf numFmtId="0" fontId="12" fillId="0" borderId="75" xfId="0" applyFont="1" applyBorder="1" applyAlignment="1">
      <alignment horizontal="left" vertical="top"/>
    </xf>
    <xf numFmtId="0" fontId="12" fillId="0" borderId="76" xfId="0" applyFont="1" applyBorder="1" applyAlignment="1">
      <alignment horizontal="left" vertical="top"/>
    </xf>
    <xf numFmtId="0" fontId="22" fillId="0" borderId="0" xfId="0" applyFont="1">
      <alignment vertical="center"/>
    </xf>
    <xf numFmtId="0" fontId="22" fillId="0" borderId="16" xfId="0" applyFont="1" applyBorder="1">
      <alignment vertical="center"/>
    </xf>
    <xf numFmtId="0" fontId="22" fillId="3" borderId="1" xfId="0" applyFont="1" applyFill="1" applyBorder="1" applyAlignment="1">
      <alignment horizontal="center" vertical="center" wrapText="1"/>
    </xf>
    <xf numFmtId="14" fontId="8" fillId="3" borderId="22" xfId="0" applyNumberFormat="1" applyFont="1" applyFill="1" applyBorder="1" applyAlignment="1">
      <alignment horizontal="center" vertical="center"/>
    </xf>
    <xf numFmtId="14" fontId="8" fillId="3" borderId="23" xfId="0" applyNumberFormat="1" applyFont="1" applyFill="1" applyBorder="1" applyAlignment="1">
      <alignment horizontal="center" vertical="center"/>
    </xf>
    <xf numFmtId="14" fontId="8" fillId="3" borderId="65" xfId="0" quotePrefix="1" applyNumberFormat="1" applyFont="1" applyFill="1" applyBorder="1" applyAlignment="1">
      <alignment horizontal="center" vertical="center"/>
    </xf>
    <xf numFmtId="0" fontId="9" fillId="0" borderId="5" xfId="0" applyFont="1" applyBorder="1">
      <alignment vertical="center"/>
    </xf>
    <xf numFmtId="0" fontId="8" fillId="3" borderId="5" xfId="0" applyFont="1" applyFill="1" applyBorder="1" applyAlignment="1">
      <alignment horizontal="center" vertical="center"/>
    </xf>
    <xf numFmtId="0" fontId="9" fillId="0" borderId="5" xfId="0" applyFont="1" applyBorder="1" applyAlignment="1">
      <alignment vertical="center" wrapText="1"/>
    </xf>
    <xf numFmtId="0" fontId="8" fillId="5" borderId="5" xfId="0" applyFont="1" applyFill="1" applyBorder="1" applyAlignment="1">
      <alignment horizontal="center" vertical="center" wrapText="1"/>
    </xf>
    <xf numFmtId="0" fontId="9" fillId="0" borderId="1" xfId="0" applyFont="1" applyBorder="1" applyAlignment="1">
      <alignment vertical="center" wrapText="1"/>
    </xf>
    <xf numFmtId="0" fontId="8" fillId="5" borderId="1"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9" fillId="0" borderId="4" xfId="0" applyFont="1" applyBorder="1">
      <alignment vertical="center"/>
    </xf>
    <xf numFmtId="0" fontId="20" fillId="0" borderId="7" xfId="0" applyFont="1" applyBorder="1">
      <alignment vertical="center"/>
    </xf>
    <xf numFmtId="0" fontId="20" fillId="0" borderId="10" xfId="0" applyFont="1" applyBorder="1">
      <alignment vertical="center"/>
    </xf>
    <xf numFmtId="0" fontId="20" fillId="0" borderId="27" xfId="0" applyFont="1" applyBorder="1" applyAlignment="1">
      <alignment horizontal="left" vertical="center" wrapText="1"/>
    </xf>
    <xf numFmtId="0" fontId="20" fillId="0" borderId="33" xfId="0" applyFont="1" applyBorder="1" applyAlignment="1">
      <alignment horizontal="left" vertical="center" wrapText="1"/>
    </xf>
    <xf numFmtId="0" fontId="20" fillId="0" borderId="13" xfId="0" applyFont="1" applyBorder="1" applyAlignment="1">
      <alignment horizontal="left" vertical="center" wrapText="1"/>
    </xf>
    <xf numFmtId="0" fontId="9" fillId="0" borderId="7" xfId="0" applyFont="1" applyBorder="1" applyAlignment="1">
      <alignment vertical="center" wrapText="1"/>
    </xf>
    <xf numFmtId="0" fontId="24" fillId="0" borderId="7" xfId="0" applyFont="1" applyBorder="1" applyAlignment="1">
      <alignment vertical="center" wrapText="1"/>
    </xf>
    <xf numFmtId="0" fontId="18" fillId="0" borderId="45" xfId="0" applyFont="1" applyBorder="1" applyAlignment="1">
      <alignment horizontal="left" vertical="center" wrapText="1"/>
    </xf>
    <xf numFmtId="0" fontId="18" fillId="0" borderId="13" xfId="0" applyFont="1" applyBorder="1" applyAlignment="1">
      <alignment horizontal="left" vertical="center" wrapText="1"/>
    </xf>
    <xf numFmtId="0" fontId="20" fillId="0" borderId="7" xfId="0" applyFont="1" applyBorder="1" applyAlignment="1">
      <alignment vertical="center" wrapText="1"/>
    </xf>
    <xf numFmtId="0" fontId="20" fillId="0" borderId="45" xfId="0" applyFont="1" applyBorder="1" applyAlignment="1">
      <alignment vertical="center" wrapText="1"/>
    </xf>
    <xf numFmtId="0" fontId="20" fillId="0" borderId="0" xfId="0" applyFont="1">
      <alignment vertical="center"/>
    </xf>
    <xf numFmtId="0" fontId="18" fillId="0" borderId="0" xfId="0" applyFont="1">
      <alignment vertical="center"/>
    </xf>
    <xf numFmtId="0" fontId="8" fillId="3" borderId="19" xfId="0" applyFont="1" applyFill="1" applyBorder="1" applyAlignment="1">
      <alignment horizontal="left" vertical="center"/>
    </xf>
    <xf numFmtId="0" fontId="8" fillId="5" borderId="2" xfId="0" applyFont="1" applyFill="1" applyBorder="1" applyAlignment="1">
      <alignment vertical="center" wrapText="1"/>
    </xf>
    <xf numFmtId="0" fontId="9" fillId="0" borderId="1" xfId="0" applyFont="1" applyBorder="1">
      <alignment vertical="center"/>
    </xf>
    <xf numFmtId="0" fontId="9" fillId="0" borderId="20" xfId="0" applyFont="1" applyBorder="1" applyAlignment="1">
      <alignment horizontal="center" vertical="center" wrapText="1"/>
    </xf>
    <xf numFmtId="0" fontId="8" fillId="3" borderId="2" xfId="0" applyFont="1" applyFill="1" applyBorder="1" applyAlignment="1">
      <alignment horizontal="center" vertical="center"/>
    </xf>
    <xf numFmtId="0" fontId="8" fillId="3" borderId="9" xfId="0" applyFont="1" applyFill="1" applyBorder="1" applyAlignment="1">
      <alignment horizontal="center" vertical="center"/>
    </xf>
    <xf numFmtId="164" fontId="8" fillId="3" borderId="12" xfId="0" applyNumberFormat="1" applyFont="1" applyFill="1" applyBorder="1">
      <alignment vertical="center"/>
    </xf>
    <xf numFmtId="164" fontId="8" fillId="3" borderId="68" xfId="0" applyNumberFormat="1" applyFont="1" applyFill="1" applyBorder="1" applyAlignment="1">
      <alignment horizontal="center" vertical="center"/>
    </xf>
    <xf numFmtId="164" fontId="8" fillId="3" borderId="17" xfId="0" applyNumberFormat="1" applyFont="1" applyFill="1" applyBorder="1" applyAlignment="1">
      <alignment horizontal="center" vertical="center"/>
    </xf>
    <xf numFmtId="164" fontId="8" fillId="3" borderId="32" xfId="0" applyNumberFormat="1" applyFont="1" applyFill="1" applyBorder="1" applyAlignment="1">
      <alignment horizontal="center" vertical="center"/>
    </xf>
    <xf numFmtId="164" fontId="25" fillId="0" borderId="15" xfId="0" applyNumberFormat="1" applyFont="1" applyBorder="1" applyAlignment="1">
      <alignment horizontal="center" vertical="center" wrapText="1"/>
    </xf>
    <xf numFmtId="164" fontId="23" fillId="2" borderId="14" xfId="0" applyNumberFormat="1" applyFont="1" applyFill="1" applyBorder="1" applyAlignment="1">
      <alignment horizontal="center" vertical="center" wrapText="1"/>
    </xf>
    <xf numFmtId="0" fontId="8" fillId="5" borderId="9" xfId="0" applyFont="1" applyFill="1" applyBorder="1" applyAlignment="1">
      <alignment horizontal="center" vertical="center"/>
    </xf>
    <xf numFmtId="164" fontId="9" fillId="0" borderId="8" xfId="0" applyNumberFormat="1" applyFont="1" applyBorder="1">
      <alignment vertical="center"/>
    </xf>
    <xf numFmtId="0" fontId="26" fillId="3" borderId="3" xfId="0" applyFont="1" applyFill="1" applyBorder="1" applyAlignment="1">
      <alignment vertical="center" wrapText="1"/>
    </xf>
    <xf numFmtId="0" fontId="26" fillId="3" borderId="19" xfId="0" applyFont="1" applyFill="1" applyBorder="1" applyAlignment="1">
      <alignment vertical="center" wrapText="1"/>
    </xf>
    <xf numFmtId="0" fontId="9" fillId="0" borderId="16" xfId="0" applyFont="1" applyBorder="1" applyAlignment="1">
      <alignment horizontal="center" vertical="center"/>
    </xf>
    <xf numFmtId="0" fontId="9" fillId="0" borderId="68" xfId="0" applyFont="1" applyBorder="1" applyAlignment="1">
      <alignment horizontal="center" vertical="center"/>
    </xf>
    <xf numFmtId="0" fontId="9" fillId="0" borderId="17" xfId="0" applyFont="1" applyBorder="1" applyAlignment="1">
      <alignment horizontal="center" vertical="center"/>
    </xf>
    <xf numFmtId="0" fontId="9" fillId="0" borderId="67" xfId="0" applyFont="1" applyBorder="1" applyAlignment="1">
      <alignment horizontal="center" vertical="top" wrapText="1"/>
    </xf>
    <xf numFmtId="0" fontId="9" fillId="0" borderId="68" xfId="0" applyFont="1" applyBorder="1" applyAlignment="1">
      <alignment horizontal="center" vertical="top" wrapText="1"/>
    </xf>
    <xf numFmtId="0" fontId="9" fillId="0" borderId="17" xfId="0" applyFont="1" applyBorder="1" applyAlignment="1">
      <alignment horizontal="center" vertical="top" wrapText="1"/>
    </xf>
    <xf numFmtId="0" fontId="18" fillId="0" borderId="1" xfId="0" applyFont="1" applyBorder="1" applyAlignment="1">
      <alignment vertical="center" wrapText="1"/>
    </xf>
    <xf numFmtId="165" fontId="9" fillId="3" borderId="1" xfId="0" applyNumberFormat="1" applyFont="1" applyFill="1" applyBorder="1" applyAlignment="1">
      <alignment horizontal="center" vertical="center"/>
    </xf>
    <xf numFmtId="164" fontId="8" fillId="0" borderId="2" xfId="0" applyNumberFormat="1" applyFont="1" applyBorder="1" applyAlignment="1">
      <alignment vertical="center" wrapText="1"/>
    </xf>
    <xf numFmtId="0" fontId="8" fillId="3" borderId="11" xfId="0" applyFont="1" applyFill="1" applyBorder="1" applyAlignment="1">
      <alignment horizontal="left" vertical="center"/>
    </xf>
    <xf numFmtId="0" fontId="8" fillId="3" borderId="44" xfId="0" applyFont="1" applyFill="1" applyBorder="1" applyAlignment="1">
      <alignment horizontal="left" vertical="center"/>
    </xf>
    <xf numFmtId="0" fontId="8" fillId="3" borderId="12" xfId="0" applyFont="1" applyFill="1" applyBorder="1" applyAlignment="1">
      <alignment horizontal="left" vertical="center"/>
    </xf>
  </cellXfs>
  <cellStyles count="4">
    <cellStyle name="Normal" xfId="0" builtinId="0"/>
    <cellStyle name="Separador de milhares [0]" xfId="3" builtinId="6"/>
    <cellStyle name="標準 2" xfId="1" xr:uid="{00000000-0005-0000-0000-000002000000}"/>
    <cellStyle name="標準 3" xfId="2" xr:uid="{00000000-0005-0000-0000-000003000000}"/>
  </cellStyles>
  <dxfs count="0"/>
  <tableStyles count="0" defaultTableStyle="TableStyleMedium2" defaultPivotStyle="PivotStyleLight16"/>
  <colors>
    <mruColors>
      <color rgb="FFFFFFCC"/>
      <color rgb="FF0000FF"/>
      <color rgb="FF660066"/>
      <color rgb="FFCC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4</xdr:col>
      <xdr:colOff>238126</xdr:colOff>
      <xdr:row>1</xdr:row>
      <xdr:rowOff>365125</xdr:rowOff>
    </xdr:from>
    <xdr:ext cx="1873249" cy="587375"/>
    <xdr:sp macro="" textlink="">
      <xdr:nvSpPr>
        <xdr:cNvPr id="2" name="テキスト ボックス 1">
          <a:extLst>
            <a:ext uri="{FF2B5EF4-FFF2-40B4-BE49-F238E27FC236}">
              <a16:creationId xmlns:a16="http://schemas.microsoft.com/office/drawing/2014/main" id="{F09D1C5B-A427-4B71-837E-FC83993623E5}"/>
            </a:ext>
          </a:extLst>
        </xdr:cNvPr>
        <xdr:cNvSpPr txBox="1"/>
      </xdr:nvSpPr>
      <xdr:spPr>
        <a:xfrm>
          <a:off x="5012056" y="608965"/>
          <a:ext cx="1873249" cy="587375"/>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latin typeface="Meiryo UI" panose="020B0604030504040204" pitchFamily="50" charset="-128"/>
              <a:ea typeface="Meiryo UI" panose="020B0604030504040204" pitchFamily="50" charset="-128"/>
            </a:rPr>
            <a:t>記入箇所</a:t>
          </a:r>
        </a:p>
      </xdr:txBody>
    </xdr:sp>
    <xdr:clientData/>
  </xdr:oneCellAnchor>
  <xdr:twoCellAnchor>
    <xdr:from>
      <xdr:col>7</xdr:col>
      <xdr:colOff>139701</xdr:colOff>
      <xdr:row>8</xdr:row>
      <xdr:rowOff>66676</xdr:rowOff>
    </xdr:from>
    <xdr:to>
      <xdr:col>7</xdr:col>
      <xdr:colOff>1098550</xdr:colOff>
      <xdr:row>8</xdr:row>
      <xdr:rowOff>285750</xdr:rowOff>
    </xdr:to>
    <xdr:sp macro="" textlink="">
      <xdr:nvSpPr>
        <xdr:cNvPr id="3" name="角丸四角形 1">
          <a:extLst>
            <a:ext uri="{FF2B5EF4-FFF2-40B4-BE49-F238E27FC236}">
              <a16:creationId xmlns:a16="http://schemas.microsoft.com/office/drawing/2014/main" id="{2C1C87DD-E061-4461-A38C-87671A3424E1}"/>
            </a:ext>
          </a:extLst>
        </xdr:cNvPr>
        <xdr:cNvSpPr/>
      </xdr:nvSpPr>
      <xdr:spPr>
        <a:xfrm>
          <a:off x="8581232" y="3471864"/>
          <a:ext cx="958849" cy="21907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401002</xdr:colOff>
      <xdr:row>2</xdr:row>
      <xdr:rowOff>180657</xdr:rowOff>
    </xdr:from>
    <xdr:to>
      <xdr:col>5</xdr:col>
      <xdr:colOff>863281</xdr:colOff>
      <xdr:row>3</xdr:row>
      <xdr:rowOff>130589</xdr:rowOff>
    </xdr:to>
    <xdr:grpSp>
      <xdr:nvGrpSpPr>
        <xdr:cNvPr id="4" name="グループ化 3">
          <a:extLst>
            <a:ext uri="{FF2B5EF4-FFF2-40B4-BE49-F238E27FC236}">
              <a16:creationId xmlns:a16="http://schemas.microsoft.com/office/drawing/2014/main" id="{DC0C3545-5A27-43E6-9F7B-F320A31AD507}"/>
            </a:ext>
          </a:extLst>
        </xdr:cNvPr>
        <xdr:cNvGrpSpPr/>
      </xdr:nvGrpSpPr>
      <xdr:grpSpPr>
        <a:xfrm>
          <a:off x="5020627" y="838676"/>
          <a:ext cx="1763235" cy="327757"/>
          <a:chOff x="4690533" y="25400"/>
          <a:chExt cx="1676411" cy="315631"/>
        </a:xfrm>
      </xdr:grpSpPr>
      <xdr:sp macro="" textlink="">
        <xdr:nvSpPr>
          <xdr:cNvPr id="5" name="正方形/長方形 4">
            <a:extLst>
              <a:ext uri="{FF2B5EF4-FFF2-40B4-BE49-F238E27FC236}">
                <a16:creationId xmlns:a16="http://schemas.microsoft.com/office/drawing/2014/main" id="{AF8BA5C1-B2A8-F027-F369-22147AD6D984}"/>
              </a:ext>
            </a:extLst>
          </xdr:cNvPr>
          <xdr:cNvSpPr/>
        </xdr:nvSpPr>
        <xdr:spPr>
          <a:xfrm>
            <a:off x="4690533" y="110067"/>
            <a:ext cx="397933" cy="177800"/>
          </a:xfrm>
          <a:prstGeom prst="rect">
            <a:avLst/>
          </a:prstGeom>
          <a:solidFill>
            <a:schemeClr val="accent6">
              <a:lumMod val="20000"/>
              <a:lumOff val="8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テキスト ボックス 5">
            <a:extLst>
              <a:ext uri="{FF2B5EF4-FFF2-40B4-BE49-F238E27FC236}">
                <a16:creationId xmlns:a16="http://schemas.microsoft.com/office/drawing/2014/main" id="{73B51D49-8A90-A85E-13C6-8882C19C4630}"/>
              </a:ext>
            </a:extLst>
          </xdr:cNvPr>
          <xdr:cNvSpPr txBox="1"/>
        </xdr:nvSpPr>
        <xdr:spPr>
          <a:xfrm>
            <a:off x="5029202" y="25400"/>
            <a:ext cx="1337742" cy="315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latin typeface="Meiryo UI" panose="020B0604030504040204" pitchFamily="50" charset="-128"/>
                <a:ea typeface="Meiryo UI" panose="020B0604030504040204" pitchFamily="50" charset="-128"/>
              </a:rPr>
              <a:t>：プルダウン選定</a:t>
            </a:r>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238126</xdr:colOff>
      <xdr:row>1</xdr:row>
      <xdr:rowOff>365125</xdr:rowOff>
    </xdr:from>
    <xdr:ext cx="1873249" cy="587375"/>
    <xdr:sp macro="" textlink="">
      <xdr:nvSpPr>
        <xdr:cNvPr id="6" name="テキスト ボックス 5">
          <a:extLst>
            <a:ext uri="{FF2B5EF4-FFF2-40B4-BE49-F238E27FC236}">
              <a16:creationId xmlns:a16="http://schemas.microsoft.com/office/drawing/2014/main" id="{00000000-0008-0000-0000-000006000000}"/>
            </a:ext>
          </a:extLst>
        </xdr:cNvPr>
        <xdr:cNvSpPr txBox="1"/>
      </xdr:nvSpPr>
      <xdr:spPr>
        <a:xfrm>
          <a:off x="5000626" y="619125"/>
          <a:ext cx="1873249" cy="587375"/>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latin typeface="Meiryo UI" panose="020B0604030504040204" pitchFamily="50" charset="-128"/>
              <a:ea typeface="Meiryo UI" panose="020B0604030504040204" pitchFamily="50" charset="-128"/>
            </a:rPr>
            <a:t>記入箇所</a:t>
          </a:r>
        </a:p>
      </xdr:txBody>
    </xdr:sp>
    <xdr:clientData/>
  </xdr:oneCellAnchor>
  <xdr:twoCellAnchor>
    <xdr:from>
      <xdr:col>7</xdr:col>
      <xdr:colOff>349251</xdr:colOff>
      <xdr:row>8</xdr:row>
      <xdr:rowOff>63501</xdr:rowOff>
    </xdr:from>
    <xdr:to>
      <xdr:col>7</xdr:col>
      <xdr:colOff>1016001</xdr:colOff>
      <xdr:row>8</xdr:row>
      <xdr:rowOff>285750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a:xfrm>
          <a:off x="8882064" y="2722564"/>
          <a:ext cx="666750" cy="22224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404812</xdr:colOff>
      <xdr:row>2</xdr:row>
      <xdr:rowOff>182562</xdr:rowOff>
    </xdr:from>
    <xdr:to>
      <xdr:col>5</xdr:col>
      <xdr:colOff>865186</xdr:colOff>
      <xdr:row>3</xdr:row>
      <xdr:rowOff>126779</xdr:rowOff>
    </xdr:to>
    <xdr:grpSp>
      <xdr:nvGrpSpPr>
        <xdr:cNvPr id="3" name="グループ化 2">
          <a:extLst>
            <a:ext uri="{FF2B5EF4-FFF2-40B4-BE49-F238E27FC236}">
              <a16:creationId xmlns:a16="http://schemas.microsoft.com/office/drawing/2014/main" id="{00000000-0008-0000-0000-000003000000}"/>
            </a:ext>
          </a:extLst>
        </xdr:cNvPr>
        <xdr:cNvGrpSpPr/>
      </xdr:nvGrpSpPr>
      <xdr:grpSpPr>
        <a:xfrm>
          <a:off x="4777581" y="834231"/>
          <a:ext cx="1567655" cy="325217"/>
          <a:chOff x="4690533" y="25400"/>
          <a:chExt cx="1676411" cy="315631"/>
        </a:xfrm>
      </xdr:grpSpPr>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4690533" y="110067"/>
            <a:ext cx="397933" cy="177800"/>
          </a:xfrm>
          <a:prstGeom prst="rect">
            <a:avLst/>
          </a:prstGeom>
          <a:solidFill>
            <a:schemeClr val="accent6">
              <a:lumMod val="20000"/>
              <a:lumOff val="8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テキスト ボックス 4">
            <a:extLst>
              <a:ext uri="{FF2B5EF4-FFF2-40B4-BE49-F238E27FC236}">
                <a16:creationId xmlns:a16="http://schemas.microsoft.com/office/drawing/2014/main" id="{00000000-0008-0000-0000-000005000000}"/>
              </a:ext>
            </a:extLst>
          </xdr:cNvPr>
          <xdr:cNvSpPr txBox="1"/>
        </xdr:nvSpPr>
        <xdr:spPr>
          <a:xfrm>
            <a:off x="5029202" y="25400"/>
            <a:ext cx="1337742" cy="315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latin typeface="Meiryo UI" panose="020B0604030504040204" pitchFamily="50" charset="-128"/>
                <a:ea typeface="Meiryo UI" panose="020B0604030504040204" pitchFamily="50" charset="-128"/>
              </a:rPr>
              <a:t>：プルダウン選定</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349251</xdr:colOff>
      <xdr:row>8</xdr:row>
      <xdr:rowOff>63501</xdr:rowOff>
    </xdr:from>
    <xdr:to>
      <xdr:col>7</xdr:col>
      <xdr:colOff>1016001</xdr:colOff>
      <xdr:row>8</xdr:row>
      <xdr:rowOff>285750</xdr:rowOff>
    </xdr:to>
    <xdr:sp macro="" textlink="">
      <xdr:nvSpPr>
        <xdr:cNvPr id="2" name="角丸四角形 1">
          <a:extLst>
            <a:ext uri="{FF2B5EF4-FFF2-40B4-BE49-F238E27FC236}">
              <a16:creationId xmlns:a16="http://schemas.microsoft.com/office/drawing/2014/main" id="{00000000-0008-0000-0100-000002000000}"/>
            </a:ext>
          </a:extLst>
        </xdr:cNvPr>
        <xdr:cNvSpPr/>
      </xdr:nvSpPr>
      <xdr:spPr>
        <a:xfrm>
          <a:off x="8870951" y="2838451"/>
          <a:ext cx="666750" cy="22224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246063</xdr:colOff>
      <xdr:row>10</xdr:row>
      <xdr:rowOff>87313</xdr:rowOff>
    </xdr:from>
    <xdr:to>
      <xdr:col>13</xdr:col>
      <xdr:colOff>7939</xdr:colOff>
      <xdr:row>12</xdr:row>
      <xdr:rowOff>381000</xdr:rowOff>
    </xdr:to>
    <xdr:sp macro="" textlink="">
      <xdr:nvSpPr>
        <xdr:cNvPr id="3" name="角丸四角形吹き出し 2">
          <a:extLst>
            <a:ext uri="{FF2B5EF4-FFF2-40B4-BE49-F238E27FC236}">
              <a16:creationId xmlns:a16="http://schemas.microsoft.com/office/drawing/2014/main" id="{00000000-0008-0000-0100-000003000000}"/>
            </a:ext>
          </a:extLst>
        </xdr:cNvPr>
        <xdr:cNvSpPr/>
      </xdr:nvSpPr>
      <xdr:spPr>
        <a:xfrm>
          <a:off x="11445876" y="3540126"/>
          <a:ext cx="1785938" cy="1166812"/>
        </a:xfrm>
        <a:prstGeom prst="wedgeRoundRectCallout">
          <a:avLst>
            <a:gd name="adj1" fmla="val -74483"/>
            <a:gd name="adj2" fmla="val -39916"/>
            <a:gd name="adj3" fmla="val 16667"/>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計画外の場合に記載</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他予算流用　等</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その場合、計画額欄は </a:t>
          </a:r>
          <a:r>
            <a:rPr kumimoji="1" lang="en-US" altLang="ja-JP"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10</xdr:col>
      <xdr:colOff>238125</xdr:colOff>
      <xdr:row>8</xdr:row>
      <xdr:rowOff>15875</xdr:rowOff>
    </xdr:from>
    <xdr:to>
      <xdr:col>12</xdr:col>
      <xdr:colOff>635000</xdr:colOff>
      <xdr:row>10</xdr:row>
      <xdr:rowOff>39688</xdr:rowOff>
    </xdr:to>
    <xdr:sp macro="" textlink="">
      <xdr:nvSpPr>
        <xdr:cNvPr id="4" name="角丸四角形吹き出し 3">
          <a:extLst>
            <a:ext uri="{FF2B5EF4-FFF2-40B4-BE49-F238E27FC236}">
              <a16:creationId xmlns:a16="http://schemas.microsoft.com/office/drawing/2014/main" id="{00000000-0008-0000-0100-000004000000}"/>
            </a:ext>
          </a:extLst>
        </xdr:cNvPr>
        <xdr:cNvSpPr/>
      </xdr:nvSpPr>
      <xdr:spPr>
        <a:xfrm>
          <a:off x="11437938" y="2786063"/>
          <a:ext cx="1746250" cy="706438"/>
        </a:xfrm>
        <a:prstGeom prst="wedgeRoundRectCallout">
          <a:avLst>
            <a:gd name="adj1" fmla="val -77333"/>
            <a:gd name="adj2" fmla="val 15852"/>
            <a:gd name="adj3" fmla="val 16667"/>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事業計画：</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立案時の計画金額</a:t>
          </a:r>
        </a:p>
      </xdr:txBody>
    </xdr:sp>
    <xdr:clientData/>
  </xdr:twoCellAnchor>
  <xdr:twoCellAnchor>
    <xdr:from>
      <xdr:col>10</xdr:col>
      <xdr:colOff>285749</xdr:colOff>
      <xdr:row>5</xdr:row>
      <xdr:rowOff>317501</xdr:rowOff>
    </xdr:from>
    <xdr:to>
      <xdr:col>12</xdr:col>
      <xdr:colOff>595311</xdr:colOff>
      <xdr:row>7</xdr:row>
      <xdr:rowOff>277814</xdr:rowOff>
    </xdr:to>
    <xdr:sp macro="" textlink="">
      <xdr:nvSpPr>
        <xdr:cNvPr id="5" name="角丸四角形吹き出し 4">
          <a:extLst>
            <a:ext uri="{FF2B5EF4-FFF2-40B4-BE49-F238E27FC236}">
              <a16:creationId xmlns:a16="http://schemas.microsoft.com/office/drawing/2014/main" id="{00000000-0008-0000-0100-000005000000}"/>
            </a:ext>
          </a:extLst>
        </xdr:cNvPr>
        <xdr:cNvSpPr/>
      </xdr:nvSpPr>
      <xdr:spPr>
        <a:xfrm>
          <a:off x="11485562" y="1968501"/>
          <a:ext cx="1658937" cy="706438"/>
        </a:xfrm>
        <a:prstGeom prst="wedgeRoundRectCallout">
          <a:avLst>
            <a:gd name="adj1" fmla="val -79833"/>
            <a:gd name="adj2" fmla="val 73156"/>
            <a:gd name="adj3" fmla="val 16667"/>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事業計画：</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立案時の計画有無</a:t>
          </a:r>
        </a:p>
      </xdr:txBody>
    </xdr:sp>
    <xdr:clientData/>
  </xdr:twoCellAnchor>
  <xdr:twoCellAnchor>
    <xdr:from>
      <xdr:col>2</xdr:col>
      <xdr:colOff>881062</xdr:colOff>
      <xdr:row>6</xdr:row>
      <xdr:rowOff>-1</xdr:rowOff>
    </xdr:from>
    <xdr:to>
      <xdr:col>3</xdr:col>
      <xdr:colOff>1088707</xdr:colOff>
      <xdr:row>7</xdr:row>
      <xdr:rowOff>228070</xdr:rowOff>
    </xdr:to>
    <xdr:sp macro="" textlink="">
      <xdr:nvSpPr>
        <xdr:cNvPr id="6" name="四角形吹き出し 5">
          <a:extLst>
            <a:ext uri="{FF2B5EF4-FFF2-40B4-BE49-F238E27FC236}">
              <a16:creationId xmlns:a16="http://schemas.microsoft.com/office/drawing/2014/main" id="{00000000-0008-0000-0100-000006000000}"/>
            </a:ext>
          </a:extLst>
        </xdr:cNvPr>
        <xdr:cNvSpPr/>
      </xdr:nvSpPr>
      <xdr:spPr>
        <a:xfrm>
          <a:off x="3079750" y="2024062"/>
          <a:ext cx="1557020" cy="601133"/>
        </a:xfrm>
        <a:prstGeom prst="wedgeRectCallout">
          <a:avLst>
            <a:gd name="adj1" fmla="val -9579"/>
            <a:gd name="adj2" fmla="val 75662"/>
          </a:avLst>
        </a:prstGeom>
        <a:solidFill>
          <a:schemeClr val="bg1"/>
        </a:solidFill>
        <a:ln w="635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chemeClr val="accent6">
                  <a:lumMod val="75000"/>
                </a:schemeClr>
              </a:solidFill>
              <a:latin typeface="Meiryo UI" panose="020B0604030504040204" pitchFamily="50" charset="-128"/>
              <a:ea typeface="Meiryo UI" panose="020B0604030504040204" pitchFamily="50" charset="-128"/>
            </a:rPr>
            <a:t>理由・目的を簡潔に記載下さい。</a:t>
          </a:r>
          <a:endParaRPr kumimoji="1" lang="en-US" altLang="ja-JP" sz="800">
            <a:solidFill>
              <a:schemeClr val="accent6">
                <a:lumMod val="75000"/>
              </a:schemeClr>
            </a:solidFill>
            <a:latin typeface="Meiryo UI" panose="020B0604030504040204" pitchFamily="50" charset="-128"/>
            <a:ea typeface="Meiryo UI" panose="020B0604030504040204" pitchFamily="50" charset="-128"/>
          </a:endParaRPr>
        </a:p>
        <a:p>
          <a:pPr algn="l"/>
          <a:r>
            <a:rPr kumimoji="1" lang="ja-JP" altLang="en-US" sz="800">
              <a:solidFill>
                <a:schemeClr val="accent6">
                  <a:lumMod val="75000"/>
                </a:schemeClr>
              </a:solidFill>
              <a:latin typeface="Meiryo UI" panose="020B0604030504040204" pitchFamily="50" charset="-128"/>
              <a:ea typeface="Meiryo UI" panose="020B0604030504040204" pitchFamily="50" charset="-128"/>
            </a:rPr>
            <a:t>省エネ効果が期待される場合は</a:t>
          </a:r>
          <a:endParaRPr kumimoji="1" lang="en-US" altLang="ja-JP" sz="800">
            <a:solidFill>
              <a:schemeClr val="accent6">
                <a:lumMod val="75000"/>
              </a:schemeClr>
            </a:solidFill>
            <a:latin typeface="Meiryo UI" panose="020B0604030504040204" pitchFamily="50" charset="-128"/>
            <a:ea typeface="Meiryo UI" panose="020B0604030504040204" pitchFamily="50" charset="-128"/>
          </a:endParaRPr>
        </a:p>
        <a:p>
          <a:pPr algn="l"/>
          <a:r>
            <a:rPr kumimoji="1" lang="ja-JP" altLang="en-US" sz="800">
              <a:solidFill>
                <a:schemeClr val="accent6">
                  <a:lumMod val="75000"/>
                </a:schemeClr>
              </a:solidFill>
              <a:latin typeface="Meiryo UI" panose="020B0604030504040204" pitchFamily="50" charset="-128"/>
              <a:ea typeface="Meiryo UI" panose="020B0604030504040204" pitchFamily="50" charset="-128"/>
            </a:rPr>
            <a:t>合せて記載下さい</a:t>
          </a:r>
          <a:endParaRPr kumimoji="1" lang="en-US" altLang="ja-JP" sz="800">
            <a:solidFill>
              <a:schemeClr val="accent6">
                <a:lumMod val="75000"/>
              </a:schemeClr>
            </a:solidFill>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a:solidFill>
            <a:srgbClr val="0000FF"/>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B1:T32"/>
  <sheetViews>
    <sheetView showGridLines="0" tabSelected="1" zoomScale="80" zoomScaleNormal="80" workbookViewId="0">
      <selection activeCell="L2" sqref="L2"/>
    </sheetView>
  </sheetViews>
  <sheetFormatPr defaultColWidth="8.81640625" defaultRowHeight="15"/>
  <cols>
    <col min="1" max="1" width="2.1796875" style="1" customWidth="1"/>
    <col min="2" max="2" width="26.7265625" style="1" customWidth="1"/>
    <col min="3" max="5" width="18.54296875" style="1" customWidth="1"/>
    <col min="6" max="6" width="18.7265625" style="1" customWidth="1"/>
    <col min="7" max="7" width="17.26953125" style="1" customWidth="1"/>
    <col min="8" max="8" width="15.81640625" style="1" customWidth="1"/>
    <col min="9" max="9" width="18.81640625" style="1" customWidth="1"/>
    <col min="10" max="10" width="3.1796875" style="1" customWidth="1"/>
    <col min="11" max="12" width="8.81640625" style="1"/>
    <col min="13" max="13" width="11.54296875" style="1" bestFit="1" customWidth="1"/>
    <col min="14" max="16384" width="8.81640625" style="1"/>
  </cols>
  <sheetData>
    <row r="1" spans="2:13" ht="20" thickBot="1">
      <c r="G1" s="127" t="s">
        <v>227</v>
      </c>
      <c r="H1" s="128"/>
      <c r="I1" s="129"/>
      <c r="K1" s="2"/>
      <c r="L1" s="2"/>
      <c r="M1" s="2"/>
    </row>
    <row r="2" spans="2:13" ht="30.5" thickBot="1">
      <c r="B2" s="3" t="s">
        <v>121</v>
      </c>
      <c r="G2" s="38" t="s">
        <v>122</v>
      </c>
      <c r="H2" s="39" t="s">
        <v>123</v>
      </c>
      <c r="I2" s="40" t="s">
        <v>124</v>
      </c>
      <c r="K2" s="2"/>
      <c r="L2" s="2"/>
      <c r="M2" s="2"/>
    </row>
    <row r="3" spans="2:13" ht="30">
      <c r="B3" s="3"/>
      <c r="G3" s="85" t="s">
        <v>229</v>
      </c>
      <c r="H3" s="84" t="s">
        <v>228</v>
      </c>
      <c r="I3" s="86" t="s">
        <v>230</v>
      </c>
      <c r="K3" s="66"/>
      <c r="L3" s="66"/>
      <c r="M3" s="2"/>
    </row>
    <row r="4" spans="2:13" ht="20" thickBot="1">
      <c r="B4" s="230" t="s">
        <v>52</v>
      </c>
      <c r="C4" s="231" t="s">
        <v>236</v>
      </c>
      <c r="D4" s="205"/>
      <c r="E4" s="205"/>
      <c r="F4" s="205"/>
      <c r="G4" s="208">
        <v>46192</v>
      </c>
      <c r="H4" s="209">
        <v>46183</v>
      </c>
      <c r="I4" s="210">
        <v>46175</v>
      </c>
      <c r="K4" s="2"/>
      <c r="L4" s="2"/>
      <c r="M4" s="2"/>
    </row>
    <row r="5" spans="2:13" ht="43.4" customHeight="1">
      <c r="B5" s="218" t="s">
        <v>125</v>
      </c>
      <c r="C5" s="206"/>
      <c r="D5" s="211" t="s">
        <v>129</v>
      </c>
      <c r="E5" s="212" t="s">
        <v>231</v>
      </c>
      <c r="F5" s="213" t="s">
        <v>131</v>
      </c>
      <c r="G5" s="214" t="s">
        <v>232</v>
      </c>
      <c r="H5" s="213" t="s">
        <v>132</v>
      </c>
      <c r="I5" s="217" t="s">
        <v>234</v>
      </c>
      <c r="K5" s="2"/>
      <c r="L5" s="2"/>
      <c r="M5" s="2"/>
    </row>
    <row r="6" spans="2:13" ht="43.4" customHeight="1">
      <c r="B6" s="219" t="s">
        <v>126</v>
      </c>
      <c r="C6" s="233" t="s">
        <v>180</v>
      </c>
      <c r="D6" s="215" t="s">
        <v>130</v>
      </c>
      <c r="E6" s="207"/>
      <c r="F6" s="215" t="s">
        <v>133</v>
      </c>
      <c r="G6" s="216" t="s">
        <v>233</v>
      </c>
      <c r="H6" s="215" t="s">
        <v>134</v>
      </c>
      <c r="I6" s="76" t="s">
        <v>204</v>
      </c>
      <c r="K6" s="2"/>
      <c r="L6" s="2"/>
      <c r="M6" s="2"/>
    </row>
    <row r="7" spans="2:13" ht="29.5" customHeight="1">
      <c r="B7" s="219" t="s">
        <v>127</v>
      </c>
      <c r="C7" s="124" t="s">
        <v>214</v>
      </c>
      <c r="D7" s="125"/>
      <c r="E7" s="125"/>
      <c r="F7" s="232"/>
      <c r="G7" s="234" t="s">
        <v>135</v>
      </c>
      <c r="H7" s="236" t="s">
        <v>210</v>
      </c>
      <c r="I7" s="237"/>
      <c r="K7" s="2"/>
      <c r="L7" s="2"/>
      <c r="M7" s="2"/>
    </row>
    <row r="8" spans="2:13" ht="51" customHeight="1" thickBot="1">
      <c r="B8" s="220" t="s">
        <v>128</v>
      </c>
      <c r="C8" s="135" t="s">
        <v>237</v>
      </c>
      <c r="D8" s="136"/>
      <c r="E8" s="136"/>
      <c r="F8" s="137"/>
      <c r="G8" s="235" t="s">
        <v>137</v>
      </c>
      <c r="H8" s="71">
        <v>8279</v>
      </c>
      <c r="I8" s="238" t="s">
        <v>136</v>
      </c>
      <c r="K8" s="2"/>
      <c r="L8" s="2"/>
      <c r="M8" s="2"/>
    </row>
    <row r="9" spans="2:13" ht="30" customHeight="1">
      <c r="B9" s="221" t="s">
        <v>218</v>
      </c>
      <c r="C9" s="115" t="s">
        <v>238</v>
      </c>
      <c r="D9" s="116"/>
      <c r="E9" s="116"/>
      <c r="F9" s="116"/>
      <c r="G9" s="117"/>
      <c r="H9" s="239" t="s">
        <v>216</v>
      </c>
      <c r="I9" s="240"/>
    </row>
    <row r="10" spans="2:13" ht="30" customHeight="1">
      <c r="B10" s="222"/>
      <c r="C10" s="118"/>
      <c r="D10" s="119"/>
      <c r="E10" s="119"/>
      <c r="F10" s="119"/>
      <c r="G10" s="120"/>
      <c r="H10" s="242" t="s">
        <v>143</v>
      </c>
      <c r="I10" s="241">
        <v>10000</v>
      </c>
    </row>
    <row r="11" spans="2:13" ht="30" customHeight="1">
      <c r="B11" s="223"/>
      <c r="C11" s="121"/>
      <c r="D11" s="122"/>
      <c r="E11" s="122"/>
      <c r="F11" s="122"/>
      <c r="G11" s="123"/>
      <c r="H11" s="243" t="s">
        <v>144</v>
      </c>
      <c r="I11" s="241"/>
    </row>
    <row r="12" spans="2:13" ht="42">
      <c r="B12" s="224" t="s">
        <v>235</v>
      </c>
      <c r="C12" s="138" t="s">
        <v>241</v>
      </c>
      <c r="D12" s="139"/>
      <c r="E12" s="139"/>
      <c r="F12" s="139"/>
      <c r="G12" s="139"/>
      <c r="H12" s="139"/>
      <c r="I12" s="140"/>
    </row>
    <row r="13" spans="2:13" ht="42.65" customHeight="1" thickBot="1">
      <c r="B13" s="225" t="s">
        <v>138</v>
      </c>
      <c r="C13" s="124" t="s">
        <v>242</v>
      </c>
      <c r="D13" s="246"/>
      <c r="E13" s="246"/>
      <c r="F13" s="246"/>
      <c r="G13" s="247"/>
      <c r="H13" s="82" t="s">
        <v>148</v>
      </c>
      <c r="I13" s="60" t="s">
        <v>239</v>
      </c>
    </row>
    <row r="14" spans="2:13" ht="30">
      <c r="B14" s="226" t="s">
        <v>215</v>
      </c>
      <c r="C14" s="143" t="s">
        <v>243</v>
      </c>
      <c r="D14" s="144"/>
      <c r="E14" s="144"/>
      <c r="F14" s="144"/>
      <c r="G14" s="145"/>
      <c r="H14" s="82" t="s">
        <v>145</v>
      </c>
      <c r="I14" s="77" t="s">
        <v>211</v>
      </c>
    </row>
    <row r="15" spans="2:13" ht="54.75" customHeight="1">
      <c r="B15" s="227"/>
      <c r="C15" s="146"/>
      <c r="D15" s="147"/>
      <c r="E15" s="147"/>
      <c r="F15" s="147"/>
      <c r="G15" s="148"/>
      <c r="H15" s="82" t="s">
        <v>146</v>
      </c>
      <c r="I15" s="78" t="s">
        <v>189</v>
      </c>
    </row>
    <row r="16" spans="2:13" ht="62.5" customHeight="1">
      <c r="B16" s="228" t="s">
        <v>246</v>
      </c>
      <c r="C16" s="138" t="s">
        <v>247</v>
      </c>
      <c r="D16" s="149"/>
      <c r="E16" s="149"/>
      <c r="F16" s="139"/>
      <c r="G16" s="139"/>
      <c r="H16" s="82" t="s">
        <v>147</v>
      </c>
      <c r="I16" s="244" t="s">
        <v>240</v>
      </c>
    </row>
    <row r="17" spans="2:20" ht="39">
      <c r="B17" s="228" t="s">
        <v>139</v>
      </c>
      <c r="C17" s="124" t="s">
        <v>244</v>
      </c>
      <c r="D17" s="125"/>
      <c r="E17" s="126"/>
      <c r="F17" s="254" t="s">
        <v>141</v>
      </c>
      <c r="G17" s="255">
        <v>8</v>
      </c>
      <c r="H17" s="256">
        <f>H8/G17</f>
        <v>1034.875</v>
      </c>
      <c r="I17" s="245" t="s">
        <v>142</v>
      </c>
    </row>
    <row r="18" spans="2:20" ht="31.75" customHeight="1" thickBot="1">
      <c r="B18" s="229" t="s">
        <v>140</v>
      </c>
      <c r="C18" s="257" t="s">
        <v>245</v>
      </c>
      <c r="D18" s="258"/>
      <c r="E18" s="258"/>
      <c r="F18" s="258"/>
      <c r="G18" s="258"/>
      <c r="H18" s="258"/>
      <c r="I18" s="259"/>
      <c r="R18" s="2"/>
      <c r="S18" s="2"/>
      <c r="T18" s="2"/>
    </row>
    <row r="19" spans="2:20" ht="14.5" customHeight="1">
      <c r="B19" s="107" t="s">
        <v>149</v>
      </c>
      <c r="C19" s="248" t="s">
        <v>151</v>
      </c>
      <c r="D19" s="249"/>
      <c r="E19" s="250"/>
      <c r="F19" s="251" t="s">
        <v>152</v>
      </c>
      <c r="G19" s="252"/>
      <c r="H19" s="252"/>
      <c r="I19" s="253"/>
    </row>
    <row r="20" spans="2:20" s="2" customFormat="1" ht="75" customHeight="1" thickBot="1">
      <c r="B20" s="108"/>
      <c r="C20" s="63" t="s">
        <v>150</v>
      </c>
      <c r="D20" s="33"/>
      <c r="E20" s="34"/>
      <c r="F20" s="79"/>
      <c r="G20" s="36" t="s">
        <v>155</v>
      </c>
      <c r="H20" s="26"/>
      <c r="I20" s="35"/>
      <c r="R20" s="1"/>
      <c r="S20" s="1"/>
      <c r="T20" s="1"/>
    </row>
    <row r="21" spans="2:20" ht="31.5" customHeight="1">
      <c r="B21" s="94" t="s">
        <v>153</v>
      </c>
      <c r="C21" s="96"/>
      <c r="D21" s="97"/>
      <c r="E21" s="97"/>
      <c r="F21" s="98"/>
      <c r="G21" s="98"/>
      <c r="H21" s="98"/>
      <c r="I21" s="99"/>
    </row>
    <row r="22" spans="2:20" ht="31.5" customHeight="1">
      <c r="B22" s="88"/>
      <c r="C22" s="100"/>
      <c r="D22" s="101"/>
      <c r="E22" s="101"/>
      <c r="F22" s="102"/>
      <c r="G22" s="102"/>
      <c r="H22" s="102"/>
      <c r="I22" s="103"/>
    </row>
    <row r="23" spans="2:20" ht="31.5" customHeight="1">
      <c r="B23" s="95"/>
      <c r="C23" s="104"/>
      <c r="D23" s="105"/>
      <c r="E23" s="105"/>
      <c r="F23" s="105"/>
      <c r="G23" s="105"/>
      <c r="H23" s="105"/>
      <c r="I23" s="106"/>
    </row>
    <row r="24" spans="2:20" ht="31.5" customHeight="1">
      <c r="B24" s="87" t="s">
        <v>154</v>
      </c>
      <c r="C24" s="23"/>
      <c r="D24" s="24"/>
      <c r="E24" s="24"/>
      <c r="F24" s="24"/>
      <c r="G24" s="24"/>
      <c r="H24" s="24"/>
      <c r="I24" s="25"/>
    </row>
    <row r="25" spans="2:20" ht="31.5" customHeight="1">
      <c r="B25" s="88"/>
      <c r="C25" s="18"/>
      <c r="D25" s="19"/>
      <c r="E25" s="19"/>
      <c r="F25" s="19"/>
      <c r="G25" s="19"/>
      <c r="H25" s="19"/>
      <c r="I25" s="22"/>
    </row>
    <row r="26" spans="2:20" ht="31.5" customHeight="1" thickBot="1">
      <c r="B26" s="89"/>
      <c r="C26" s="90"/>
      <c r="D26" s="91"/>
      <c r="E26" s="91"/>
      <c r="F26" s="92"/>
      <c r="G26" s="92"/>
      <c r="H26" s="92"/>
      <c r="I26" s="93"/>
    </row>
    <row r="27" spans="2:20" ht="31.5" customHeight="1">
      <c r="B27" s="94" t="s">
        <v>156</v>
      </c>
      <c r="C27" s="96"/>
      <c r="D27" s="97"/>
      <c r="E27" s="97"/>
      <c r="F27" s="98"/>
      <c r="G27" s="98"/>
      <c r="H27" s="98"/>
      <c r="I27" s="99"/>
    </row>
    <row r="28" spans="2:20" ht="31.5" customHeight="1">
      <c r="B28" s="88"/>
      <c r="C28" s="100"/>
      <c r="D28" s="101"/>
      <c r="E28" s="101"/>
      <c r="F28" s="102"/>
      <c r="G28" s="102"/>
      <c r="H28" s="102"/>
      <c r="I28" s="103"/>
    </row>
    <row r="29" spans="2:20" ht="31.5" customHeight="1">
      <c r="B29" s="95"/>
      <c r="C29" s="104"/>
      <c r="D29" s="105"/>
      <c r="E29" s="105"/>
      <c r="F29" s="105"/>
      <c r="G29" s="105"/>
      <c r="H29" s="105"/>
      <c r="I29" s="106"/>
    </row>
    <row r="30" spans="2:20" ht="31.5" customHeight="1">
      <c r="B30" s="87" t="s">
        <v>157</v>
      </c>
      <c r="C30" s="23"/>
      <c r="D30" s="24"/>
      <c r="E30" s="24"/>
      <c r="F30" s="24"/>
      <c r="G30" s="24"/>
      <c r="H30" s="24"/>
      <c r="I30" s="25"/>
    </row>
    <row r="31" spans="2:20" ht="31.5" customHeight="1">
      <c r="B31" s="88"/>
      <c r="C31" s="18"/>
      <c r="D31" s="19"/>
      <c r="E31" s="19"/>
      <c r="F31" s="19"/>
      <c r="G31" s="19"/>
      <c r="H31" s="19"/>
      <c r="I31" s="22"/>
    </row>
    <row r="32" spans="2:20" ht="31.5" customHeight="1" thickBot="1">
      <c r="B32" s="89"/>
      <c r="C32" s="90"/>
      <c r="D32" s="91"/>
      <c r="E32" s="91"/>
      <c r="F32" s="92"/>
      <c r="G32" s="92"/>
      <c r="H32" s="92"/>
      <c r="I32" s="93"/>
    </row>
  </sheetData>
  <mergeCells count="29">
    <mergeCell ref="B9:B11"/>
    <mergeCell ref="C9:G11"/>
    <mergeCell ref="H9:I9"/>
    <mergeCell ref="C17:E17"/>
    <mergeCell ref="G1:I1"/>
    <mergeCell ref="C7:F7"/>
    <mergeCell ref="H7:I7"/>
    <mergeCell ref="C8:F8"/>
    <mergeCell ref="C12:I12"/>
    <mergeCell ref="C13:G13"/>
    <mergeCell ref="B14:B15"/>
    <mergeCell ref="C14:G15"/>
    <mergeCell ref="C16:G16"/>
    <mergeCell ref="C18:I18"/>
    <mergeCell ref="B19:B20"/>
    <mergeCell ref="C19:E19"/>
    <mergeCell ref="F19:I19"/>
    <mergeCell ref="B21:B23"/>
    <mergeCell ref="C21:I21"/>
    <mergeCell ref="C22:I22"/>
    <mergeCell ref="C23:I23"/>
    <mergeCell ref="B30:B32"/>
    <mergeCell ref="C32:I32"/>
    <mergeCell ref="B24:B26"/>
    <mergeCell ref="C26:I26"/>
    <mergeCell ref="B27:B29"/>
    <mergeCell ref="C27:I27"/>
    <mergeCell ref="C28:I28"/>
    <mergeCell ref="C29:I29"/>
  </mergeCells>
  <phoneticPr fontId="4"/>
  <pageMargins left="0.11811023622047245" right="0.11811023622047245" top="0.74803149606299213" bottom="0.74803149606299213" header="0.31496062992125984" footer="0.31496062992125984"/>
  <pageSetup paperSize="9" scale="63"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2D9E6D03-B310-4573-8AC2-AECD4A0A8F19}">
          <x14:formula1>
            <xm:f>区分!$U$12:$U$13</xm:f>
          </x14:formula1>
          <xm:sqref>I15</xm:sqref>
        </x14:dataValidation>
        <x14:dataValidation type="list" allowBlank="1" showInputMessage="1" showErrorMessage="1" xr:uid="{5075CB2D-C007-418B-BF0B-FB625871FF21}">
          <x14:formula1>
            <xm:f>区分!$U$8:$U$9</xm:f>
          </x14:formula1>
          <xm:sqref>I16 I14</xm:sqref>
        </x14:dataValidation>
        <x14:dataValidation type="list" allowBlank="1" showInputMessage="1" showErrorMessage="1" xr:uid="{F7B8F959-04BE-47C6-B61A-851A8F5E4092}">
          <x14:formula1>
            <xm:f>区分!$Q$15:$Q$27</xm:f>
          </x14:formula1>
          <xm:sqref>I6</xm:sqref>
        </x14:dataValidation>
        <x14:dataValidation type="list" allowBlank="1" showInputMessage="1" showErrorMessage="1" xr:uid="{C387E242-9B2B-48C1-8CAA-13763987EEEF}">
          <x14:formula1>
            <xm:f>区分!$U$4:$U$5</xm:f>
          </x14:formula1>
          <xm:sqref>F20</xm:sqref>
        </x14:dataValidation>
        <x14:dataValidation type="list" allowBlank="1" showInputMessage="1" showErrorMessage="1" xr:uid="{F35642BE-B00D-43A0-91AE-EA161869CB2F}">
          <x14:formula1>
            <xm:f>区分!$N$15:$N$20</xm:f>
          </x14:formula1>
          <xm:sqref>G6</xm:sqref>
        </x14:dataValidation>
        <x14:dataValidation type="list" allowBlank="1" showInputMessage="1" showErrorMessage="1" xr:uid="{FEE93266-A72D-4238-B61F-C46AFC65BBF2}">
          <x14:formula1>
            <xm:f>区分!$N$4:$N$12</xm:f>
          </x14:formula1>
          <xm:sqref>I5</xm:sqref>
        </x14:dataValidation>
        <x14:dataValidation type="list" allowBlank="1" showInputMessage="1" showErrorMessage="1" xr:uid="{40947DE1-9510-4C74-B4CA-DD020D9E3C9A}">
          <x14:formula1>
            <xm:f>区分!$Q$4:$Q$9</xm:f>
          </x14:formula1>
          <xm:sqref>G5</xm:sqref>
        </x14:dataValidation>
        <x14:dataValidation type="list" allowBlank="1" showInputMessage="1" showErrorMessage="1" xr:uid="{DB791341-A0C1-4472-A900-B3654BEC9EBE}">
          <x14:formula1>
            <xm:f>区分!$S$4:$S$9</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M32"/>
  <sheetViews>
    <sheetView showGridLines="0" topLeftCell="B1" zoomScale="80" zoomScaleNormal="80" workbookViewId="0">
      <selection activeCell="G2" sqref="G2"/>
    </sheetView>
  </sheetViews>
  <sheetFormatPr defaultColWidth="8.81640625" defaultRowHeight="15"/>
  <cols>
    <col min="1" max="1" width="2.1796875" style="1" customWidth="1"/>
    <col min="2" max="2" width="26.7265625" style="1" customWidth="1"/>
    <col min="3" max="3" width="17.7265625" style="1" customWidth="1"/>
    <col min="4" max="5" width="15.81640625" style="1" customWidth="1"/>
    <col min="6" max="6" width="17.54296875" style="1" customWidth="1"/>
    <col min="7" max="9" width="15.81640625" style="1" customWidth="1"/>
    <col min="10" max="10" width="3.1796875" style="1" customWidth="1"/>
    <col min="11" max="16384" width="8.81640625" style="1"/>
  </cols>
  <sheetData>
    <row r="1" spans="2:13" ht="20" thickBot="1">
      <c r="G1" s="127" t="s">
        <v>24</v>
      </c>
      <c r="H1" s="128"/>
      <c r="I1" s="129"/>
      <c r="K1" s="2"/>
      <c r="L1" s="2"/>
      <c r="M1" s="2"/>
    </row>
    <row r="2" spans="2:13" ht="30.5" thickBot="1">
      <c r="B2" s="3" t="s">
        <v>93</v>
      </c>
      <c r="G2" s="38" t="s">
        <v>25</v>
      </c>
      <c r="H2" s="39" t="s">
        <v>38</v>
      </c>
      <c r="I2" s="40" t="s">
        <v>26</v>
      </c>
      <c r="K2" s="2"/>
      <c r="L2" s="2"/>
      <c r="M2" s="2"/>
    </row>
    <row r="3" spans="2:13" ht="30">
      <c r="B3" s="3"/>
      <c r="G3" s="41"/>
      <c r="H3" s="42"/>
      <c r="I3" s="43"/>
      <c r="K3" s="66"/>
      <c r="L3" s="66"/>
      <c r="M3" s="2"/>
    </row>
    <row r="4" spans="2:13" ht="20" thickBot="1">
      <c r="B4" s="31" t="s">
        <v>52</v>
      </c>
      <c r="C4" s="67" t="s">
        <v>54</v>
      </c>
      <c r="G4" s="44" t="s">
        <v>105</v>
      </c>
      <c r="H4" s="45" t="s">
        <v>104</v>
      </c>
      <c r="I4" s="46" t="s">
        <v>104</v>
      </c>
      <c r="K4" s="2"/>
      <c r="L4" s="2"/>
      <c r="M4" s="2"/>
    </row>
    <row r="5" spans="2:13" ht="29.5" customHeight="1">
      <c r="B5" s="30" t="s">
        <v>20</v>
      </c>
      <c r="C5" s="20"/>
      <c r="D5" s="4" t="s">
        <v>0</v>
      </c>
      <c r="E5" s="56"/>
      <c r="F5" s="4" t="s">
        <v>62</v>
      </c>
      <c r="G5" s="74"/>
      <c r="H5" s="4" t="s">
        <v>63</v>
      </c>
      <c r="I5" s="75"/>
      <c r="K5" s="2"/>
      <c r="L5" s="2"/>
      <c r="M5" s="2"/>
    </row>
    <row r="6" spans="2:13" ht="29.5" customHeight="1">
      <c r="B6" s="5" t="s">
        <v>31</v>
      </c>
      <c r="C6" s="72"/>
      <c r="D6" s="6" t="s">
        <v>1</v>
      </c>
      <c r="E6" s="55"/>
      <c r="F6" s="6" t="s">
        <v>60</v>
      </c>
      <c r="G6" s="73"/>
      <c r="H6" s="6" t="s">
        <v>61</v>
      </c>
      <c r="I6" s="76"/>
      <c r="K6" s="2"/>
      <c r="L6" s="2"/>
      <c r="M6" s="2"/>
    </row>
    <row r="7" spans="2:13" ht="29.5" customHeight="1">
      <c r="B7" s="5" t="s">
        <v>2</v>
      </c>
      <c r="C7" s="130"/>
      <c r="D7" s="131"/>
      <c r="E7" s="131"/>
      <c r="F7" s="132"/>
      <c r="G7" s="6" t="s">
        <v>119</v>
      </c>
      <c r="H7" s="133"/>
      <c r="I7" s="134"/>
      <c r="K7" s="2"/>
      <c r="L7" s="2"/>
      <c r="M7" s="2"/>
    </row>
    <row r="8" spans="2:13" ht="29.5" customHeight="1" thickBot="1">
      <c r="B8" s="7" t="s">
        <v>3</v>
      </c>
      <c r="C8" s="150"/>
      <c r="D8" s="151"/>
      <c r="E8" s="151"/>
      <c r="F8" s="152"/>
      <c r="G8" s="8" t="s">
        <v>4</v>
      </c>
      <c r="H8" s="71"/>
      <c r="I8" s="80" t="s">
        <v>23</v>
      </c>
      <c r="K8" s="2"/>
      <c r="L8" s="2"/>
      <c r="M8" s="2"/>
    </row>
    <row r="9" spans="2:13" ht="27" customHeight="1">
      <c r="B9" s="94" t="s">
        <v>5</v>
      </c>
      <c r="C9" s="153"/>
      <c r="D9" s="154"/>
      <c r="E9" s="154"/>
      <c r="F9" s="154"/>
      <c r="G9" s="155"/>
      <c r="H9" s="162" t="s">
        <v>28</v>
      </c>
      <c r="I9" s="163"/>
    </row>
    <row r="10" spans="2:13" ht="27" customHeight="1">
      <c r="B10" s="88"/>
      <c r="C10" s="156"/>
      <c r="D10" s="157"/>
      <c r="E10" s="157"/>
      <c r="F10" s="157"/>
      <c r="G10" s="158"/>
      <c r="H10" s="10" t="s">
        <v>27</v>
      </c>
      <c r="I10" s="62"/>
    </row>
    <row r="11" spans="2:13" ht="27" customHeight="1">
      <c r="B11" s="95"/>
      <c r="C11" s="159"/>
      <c r="D11" s="160"/>
      <c r="E11" s="160"/>
      <c r="F11" s="160"/>
      <c r="G11" s="161"/>
      <c r="H11" s="10" t="s">
        <v>37</v>
      </c>
      <c r="I11" s="62"/>
    </row>
    <row r="12" spans="2:13" ht="42" customHeight="1">
      <c r="B12" s="11" t="s">
        <v>101</v>
      </c>
      <c r="C12" s="164"/>
      <c r="D12" s="165"/>
      <c r="E12" s="165"/>
      <c r="F12" s="165"/>
      <c r="G12" s="165"/>
      <c r="H12" s="165"/>
      <c r="I12" s="166"/>
    </row>
    <row r="13" spans="2:13" ht="30.65" customHeight="1">
      <c r="B13" s="11" t="s">
        <v>22</v>
      </c>
      <c r="C13" s="124"/>
      <c r="D13" s="141"/>
      <c r="E13" s="141"/>
      <c r="F13" s="141"/>
      <c r="G13" s="142"/>
      <c r="H13" s="21" t="s">
        <v>53</v>
      </c>
      <c r="I13" s="60" t="s">
        <v>98</v>
      </c>
    </row>
    <row r="14" spans="2:13" ht="27.65" customHeight="1">
      <c r="B14" s="170" t="s">
        <v>102</v>
      </c>
      <c r="C14" s="171"/>
      <c r="D14" s="172"/>
      <c r="E14" s="172"/>
      <c r="F14" s="172"/>
      <c r="G14" s="173"/>
      <c r="H14" s="12" t="s">
        <v>44</v>
      </c>
      <c r="I14" s="77"/>
    </row>
    <row r="15" spans="2:13" ht="27.65" customHeight="1">
      <c r="B15" s="95"/>
      <c r="C15" s="174"/>
      <c r="D15" s="175"/>
      <c r="E15" s="175"/>
      <c r="F15" s="175"/>
      <c r="G15" s="176"/>
      <c r="H15" s="12" t="s">
        <v>45</v>
      </c>
      <c r="I15" s="78"/>
    </row>
    <row r="16" spans="2:13" ht="36" customHeight="1">
      <c r="B16" s="11" t="s">
        <v>46</v>
      </c>
      <c r="C16" s="177"/>
      <c r="D16" s="178"/>
      <c r="E16" s="178"/>
      <c r="F16" s="165"/>
      <c r="G16" s="165"/>
      <c r="H16" s="12" t="s">
        <v>47</v>
      </c>
      <c r="I16" s="81"/>
    </row>
    <row r="17" spans="2:9" ht="31.75" customHeight="1">
      <c r="B17" s="11" t="s">
        <v>48</v>
      </c>
      <c r="C17" s="124"/>
      <c r="D17" s="125"/>
      <c r="E17" s="126"/>
      <c r="F17" s="68" t="s">
        <v>49</v>
      </c>
      <c r="G17" s="61"/>
      <c r="H17" s="69" t="e">
        <f>H8/G17</f>
        <v>#DIV/0!</v>
      </c>
      <c r="I17" s="70" t="s">
        <v>59</v>
      </c>
    </row>
    <row r="18" spans="2:9" ht="31.75" customHeight="1" thickBot="1">
      <c r="B18" s="32" t="s">
        <v>50</v>
      </c>
      <c r="C18" s="167"/>
      <c r="D18" s="168"/>
      <c r="E18" s="168"/>
      <c r="F18" s="168"/>
      <c r="G18" s="168"/>
      <c r="H18" s="168"/>
      <c r="I18" s="169"/>
    </row>
    <row r="19" spans="2:9" ht="14.5" customHeight="1">
      <c r="B19" s="107" t="s">
        <v>58</v>
      </c>
      <c r="C19" s="109" t="s">
        <v>94</v>
      </c>
      <c r="D19" s="110"/>
      <c r="E19" s="111"/>
      <c r="F19" s="112" t="s">
        <v>97</v>
      </c>
      <c r="G19" s="113"/>
      <c r="H19" s="113"/>
      <c r="I19" s="114"/>
    </row>
    <row r="20" spans="2:9" s="2" customFormat="1" ht="46.4" customHeight="1" thickBot="1">
      <c r="B20" s="108"/>
      <c r="C20" s="63" t="s">
        <v>41</v>
      </c>
      <c r="D20" s="33" t="s">
        <v>56</v>
      </c>
      <c r="E20" s="34"/>
      <c r="F20" s="79"/>
      <c r="G20" s="36" t="s">
        <v>55</v>
      </c>
      <c r="H20" s="26" t="s">
        <v>57</v>
      </c>
      <c r="I20" s="35"/>
    </row>
    <row r="21" spans="2:9" ht="31.5" customHeight="1">
      <c r="B21" s="94" t="s">
        <v>42</v>
      </c>
      <c r="C21" s="96"/>
      <c r="D21" s="97"/>
      <c r="E21" s="97"/>
      <c r="F21" s="98"/>
      <c r="G21" s="98"/>
      <c r="H21" s="98"/>
      <c r="I21" s="99"/>
    </row>
    <row r="22" spans="2:9" ht="31.5" customHeight="1">
      <c r="B22" s="88"/>
      <c r="C22" s="100"/>
      <c r="D22" s="101"/>
      <c r="E22" s="101"/>
      <c r="F22" s="102"/>
      <c r="G22" s="102"/>
      <c r="H22" s="102"/>
      <c r="I22" s="103"/>
    </row>
    <row r="23" spans="2:9" ht="31.5" customHeight="1">
      <c r="B23" s="95"/>
      <c r="C23" s="104"/>
      <c r="D23" s="105"/>
      <c r="E23" s="105"/>
      <c r="F23" s="105"/>
      <c r="G23" s="105"/>
      <c r="H23" s="105"/>
      <c r="I23" s="106"/>
    </row>
    <row r="24" spans="2:9" ht="31.5" customHeight="1">
      <c r="B24" s="87" t="s">
        <v>43</v>
      </c>
      <c r="C24" s="23"/>
      <c r="D24" s="24"/>
      <c r="E24" s="24"/>
      <c r="F24" s="24"/>
      <c r="G24" s="24"/>
      <c r="H24" s="24"/>
      <c r="I24" s="25"/>
    </row>
    <row r="25" spans="2:9" ht="31.5" customHeight="1">
      <c r="B25" s="88"/>
      <c r="C25" s="18"/>
      <c r="D25" s="19"/>
      <c r="E25" s="19"/>
      <c r="F25" s="19"/>
      <c r="G25" s="19"/>
      <c r="H25" s="19"/>
      <c r="I25" s="22"/>
    </row>
    <row r="26" spans="2:9" ht="31.5" customHeight="1" thickBot="1">
      <c r="B26" s="89"/>
      <c r="C26" s="90"/>
      <c r="D26" s="91"/>
      <c r="E26" s="91"/>
      <c r="F26" s="92"/>
      <c r="G26" s="92"/>
      <c r="H26" s="92"/>
      <c r="I26" s="93"/>
    </row>
    <row r="27" spans="2:9" ht="31.5" customHeight="1">
      <c r="B27" s="94" t="s">
        <v>40</v>
      </c>
      <c r="C27" s="96"/>
      <c r="D27" s="97"/>
      <c r="E27" s="97"/>
      <c r="F27" s="98"/>
      <c r="G27" s="98"/>
      <c r="H27" s="98"/>
      <c r="I27" s="99"/>
    </row>
    <row r="28" spans="2:9" ht="31.5" customHeight="1">
      <c r="B28" s="88"/>
      <c r="C28" s="100"/>
      <c r="D28" s="101"/>
      <c r="E28" s="101"/>
      <c r="F28" s="102"/>
      <c r="G28" s="102"/>
      <c r="H28" s="102"/>
      <c r="I28" s="103"/>
    </row>
    <row r="29" spans="2:9" ht="31.5" customHeight="1">
      <c r="B29" s="95"/>
      <c r="C29" s="104"/>
      <c r="D29" s="105"/>
      <c r="E29" s="105"/>
      <c r="F29" s="105"/>
      <c r="G29" s="105"/>
      <c r="H29" s="105"/>
      <c r="I29" s="106"/>
    </row>
    <row r="30" spans="2:9" ht="31.5" customHeight="1">
      <c r="B30" s="87" t="s">
        <v>120</v>
      </c>
      <c r="C30" s="23"/>
      <c r="D30" s="24"/>
      <c r="E30" s="24"/>
      <c r="F30" s="24"/>
      <c r="G30" s="24"/>
      <c r="H30" s="24"/>
      <c r="I30" s="25"/>
    </row>
    <row r="31" spans="2:9" ht="31.5" customHeight="1">
      <c r="B31" s="88"/>
      <c r="C31" s="18"/>
      <c r="D31" s="19"/>
      <c r="E31" s="19"/>
      <c r="F31" s="19"/>
      <c r="G31" s="19"/>
      <c r="H31" s="19"/>
      <c r="I31" s="22"/>
    </row>
    <row r="32" spans="2:9" ht="31.5" customHeight="1" thickBot="1">
      <c r="B32" s="89"/>
      <c r="C32" s="90"/>
      <c r="D32" s="91"/>
      <c r="E32" s="91"/>
      <c r="F32" s="92"/>
      <c r="G32" s="92"/>
      <c r="H32" s="92"/>
      <c r="I32" s="93"/>
    </row>
  </sheetData>
  <mergeCells count="29">
    <mergeCell ref="C12:I12"/>
    <mergeCell ref="C18:I18"/>
    <mergeCell ref="B27:B29"/>
    <mergeCell ref="C27:I27"/>
    <mergeCell ref="C28:I28"/>
    <mergeCell ref="C29:I29"/>
    <mergeCell ref="B19:B20"/>
    <mergeCell ref="C19:E19"/>
    <mergeCell ref="F19:I19"/>
    <mergeCell ref="C13:G13"/>
    <mergeCell ref="B14:B15"/>
    <mergeCell ref="C14:G15"/>
    <mergeCell ref="C16:G16"/>
    <mergeCell ref="C17:E17"/>
    <mergeCell ref="C32:I32"/>
    <mergeCell ref="B24:B26"/>
    <mergeCell ref="B30:B32"/>
    <mergeCell ref="B21:B23"/>
    <mergeCell ref="C21:I21"/>
    <mergeCell ref="C22:I22"/>
    <mergeCell ref="C23:I23"/>
    <mergeCell ref="C26:I26"/>
    <mergeCell ref="G1:I1"/>
    <mergeCell ref="C7:F7"/>
    <mergeCell ref="H7:I7"/>
    <mergeCell ref="C8:F8"/>
    <mergeCell ref="B9:B11"/>
    <mergeCell ref="C9:G11"/>
    <mergeCell ref="H9:I9"/>
  </mergeCells>
  <phoneticPr fontId="4"/>
  <pageMargins left="0.11811023622047245" right="0.11811023622047245" top="0.74803149606299213" bottom="0.74803149606299213" header="0.31496062992125984" footer="0.31496062992125984"/>
  <pageSetup paperSize="9" scale="75"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区分!$H$4:$H$8</xm:f>
          </x14:formula1>
          <xm:sqref>C6</xm:sqref>
        </x14:dataValidation>
        <x14:dataValidation type="list" allowBlank="1" showInputMessage="1" showErrorMessage="1" xr:uid="{00000000-0002-0000-0000-000001000000}">
          <x14:formula1>
            <xm:f>区分!$F$4:$F$9</xm:f>
          </x14:formula1>
          <xm:sqref>G5</xm:sqref>
        </x14:dataValidation>
        <x14:dataValidation type="list" allowBlank="1" showInputMessage="1" showErrorMessage="1" xr:uid="{00000000-0002-0000-0000-000002000000}">
          <x14:formula1>
            <xm:f>区分!$C$4:$C$12</xm:f>
          </x14:formula1>
          <xm:sqref>I5</xm:sqref>
        </x14:dataValidation>
        <x14:dataValidation type="list" allowBlank="1" showInputMessage="1" showErrorMessage="1" xr:uid="{00000000-0002-0000-0000-000003000000}">
          <x14:formula1>
            <xm:f>区分!$C$15:$C$20</xm:f>
          </x14:formula1>
          <xm:sqref>G6</xm:sqref>
        </x14:dataValidation>
        <x14:dataValidation type="list" allowBlank="1" showInputMessage="1" showErrorMessage="1" xr:uid="{00000000-0002-0000-0000-000004000000}">
          <x14:formula1>
            <xm:f>区分!$J$4:$J$5</xm:f>
          </x14:formula1>
          <xm:sqref>F20</xm:sqref>
        </x14:dataValidation>
        <x14:dataValidation type="list" allowBlank="1" showInputMessage="1" showErrorMessage="1" xr:uid="{00000000-0002-0000-0000-000005000000}">
          <x14:formula1>
            <xm:f>区分!$F$15:$F$27</xm:f>
          </x14:formula1>
          <xm:sqref>I6</xm:sqref>
        </x14:dataValidation>
        <x14:dataValidation type="list" allowBlank="1" showInputMessage="1" showErrorMessage="1" xr:uid="{00000000-0002-0000-0000-000006000000}">
          <x14:formula1>
            <xm:f>区分!$J$8:$J$9</xm:f>
          </x14:formula1>
          <xm:sqref>I14 I16</xm:sqref>
        </x14:dataValidation>
        <x14:dataValidation type="list" allowBlank="1" showInputMessage="1" showErrorMessage="1" xr:uid="{00000000-0002-0000-0000-000007000000}">
          <x14:formula1>
            <xm:f>区分!$J$12:$J$13</xm:f>
          </x14:formula1>
          <xm:sqref>I15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B1:M32"/>
  <sheetViews>
    <sheetView showGridLines="0" zoomScale="80" zoomScaleNormal="80" workbookViewId="0">
      <selection activeCell="Q6" sqref="Q6"/>
    </sheetView>
  </sheetViews>
  <sheetFormatPr defaultColWidth="8.81640625" defaultRowHeight="15"/>
  <cols>
    <col min="1" max="1" width="2.1796875" style="1" customWidth="1"/>
    <col min="2" max="2" width="26.7265625" style="1" customWidth="1"/>
    <col min="3" max="3" width="17.7265625" style="1" customWidth="1"/>
    <col min="4" max="5" width="15.81640625" style="1" customWidth="1"/>
    <col min="6" max="6" width="17.54296875" style="1" customWidth="1"/>
    <col min="7" max="9" width="15.81640625" style="1" customWidth="1"/>
    <col min="10" max="10" width="3.1796875" style="1" customWidth="1"/>
    <col min="11" max="16384" width="8.81640625" style="1"/>
  </cols>
  <sheetData>
    <row r="1" spans="2:13" ht="20" thickBot="1">
      <c r="G1" s="127" t="s">
        <v>24</v>
      </c>
      <c r="H1" s="128"/>
      <c r="I1" s="129"/>
      <c r="K1" s="2"/>
      <c r="L1" s="2"/>
      <c r="M1" s="2"/>
    </row>
    <row r="2" spans="2:13" ht="30.5" thickBot="1">
      <c r="B2" s="3" t="s">
        <v>93</v>
      </c>
      <c r="G2" s="38" t="s">
        <v>224</v>
      </c>
      <c r="H2" s="39" t="s">
        <v>225</v>
      </c>
      <c r="I2" s="40" t="s">
        <v>226</v>
      </c>
      <c r="K2" s="2"/>
      <c r="L2" s="2"/>
      <c r="M2" s="2"/>
    </row>
    <row r="3" spans="2:13" ht="30">
      <c r="B3" s="3"/>
      <c r="G3" s="41"/>
      <c r="H3" s="42"/>
      <c r="I3" s="43"/>
      <c r="K3" s="37" t="s">
        <v>222</v>
      </c>
      <c r="L3" s="50" t="s">
        <v>223</v>
      </c>
      <c r="M3" s="2"/>
    </row>
    <row r="4" spans="2:13" ht="20" thickBot="1">
      <c r="B4" s="31" t="s">
        <v>52</v>
      </c>
      <c r="C4" s="47" t="s">
        <v>54</v>
      </c>
      <c r="D4" s="48"/>
      <c r="G4" s="44" t="s">
        <v>105</v>
      </c>
      <c r="H4" s="45" t="s">
        <v>104</v>
      </c>
      <c r="I4" s="46" t="s">
        <v>104</v>
      </c>
      <c r="K4" s="2"/>
      <c r="L4" s="2"/>
      <c r="M4" s="2"/>
    </row>
    <row r="5" spans="2:13" ht="29.5" customHeight="1">
      <c r="B5" s="30" t="s">
        <v>20</v>
      </c>
      <c r="C5" s="20"/>
      <c r="D5" s="4" t="s">
        <v>0</v>
      </c>
      <c r="E5" s="56" t="s">
        <v>112</v>
      </c>
      <c r="F5" s="4" t="s">
        <v>62</v>
      </c>
      <c r="G5" s="51" t="s">
        <v>17</v>
      </c>
      <c r="H5" s="4" t="s">
        <v>63</v>
      </c>
      <c r="I5" s="53" t="s">
        <v>51</v>
      </c>
      <c r="K5" s="2"/>
      <c r="L5" s="2"/>
      <c r="M5" s="2"/>
    </row>
    <row r="6" spans="2:13" ht="29.5" customHeight="1">
      <c r="B6" s="5" t="s">
        <v>31</v>
      </c>
      <c r="C6" s="49" t="s">
        <v>32</v>
      </c>
      <c r="D6" s="6" t="s">
        <v>1</v>
      </c>
      <c r="E6" s="55" t="s">
        <v>113</v>
      </c>
      <c r="F6" s="6" t="s">
        <v>60</v>
      </c>
      <c r="G6" s="52" t="s">
        <v>114</v>
      </c>
      <c r="H6" s="6" t="s">
        <v>61</v>
      </c>
      <c r="I6" s="54" t="s">
        <v>118</v>
      </c>
      <c r="K6" s="2"/>
      <c r="L6" s="2"/>
      <c r="M6" s="2"/>
    </row>
    <row r="7" spans="2:13" ht="29.5" customHeight="1">
      <c r="B7" s="5" t="s">
        <v>212</v>
      </c>
      <c r="C7" s="130" t="s">
        <v>116</v>
      </c>
      <c r="D7" s="131"/>
      <c r="E7" s="131"/>
      <c r="F7" s="132"/>
      <c r="G7" s="6" t="s">
        <v>21</v>
      </c>
      <c r="H7" s="133" t="s">
        <v>115</v>
      </c>
      <c r="I7" s="134"/>
      <c r="K7" s="2"/>
      <c r="L7" s="2"/>
      <c r="M7" s="2"/>
    </row>
    <row r="8" spans="2:13" ht="29.5" customHeight="1" thickBot="1">
      <c r="B8" s="7" t="s">
        <v>213</v>
      </c>
      <c r="C8" s="150" t="s">
        <v>117</v>
      </c>
      <c r="D8" s="151"/>
      <c r="E8" s="151"/>
      <c r="F8" s="152"/>
      <c r="G8" s="8" t="s">
        <v>4</v>
      </c>
      <c r="H8" s="71">
        <v>22000</v>
      </c>
      <c r="I8" s="9" t="s">
        <v>23</v>
      </c>
      <c r="K8" s="2"/>
      <c r="L8" s="2"/>
      <c r="M8" s="2"/>
    </row>
    <row r="9" spans="2:13" ht="27" customHeight="1">
      <c r="B9" s="94" t="s">
        <v>5</v>
      </c>
      <c r="C9" s="153" t="s">
        <v>106</v>
      </c>
      <c r="D9" s="154"/>
      <c r="E9" s="154"/>
      <c r="F9" s="154"/>
      <c r="G9" s="155"/>
      <c r="H9" s="162" t="s">
        <v>28</v>
      </c>
      <c r="I9" s="163"/>
    </row>
    <row r="10" spans="2:13" ht="27" customHeight="1">
      <c r="B10" s="88"/>
      <c r="C10" s="156"/>
      <c r="D10" s="157"/>
      <c r="E10" s="157"/>
      <c r="F10" s="157"/>
      <c r="G10" s="158"/>
      <c r="H10" s="10" t="s">
        <v>27</v>
      </c>
      <c r="I10" s="62">
        <v>25000</v>
      </c>
    </row>
    <row r="11" spans="2:13" ht="27" customHeight="1">
      <c r="B11" s="95"/>
      <c r="C11" s="159"/>
      <c r="D11" s="160"/>
      <c r="E11" s="160"/>
      <c r="F11" s="160"/>
      <c r="G11" s="161"/>
      <c r="H11" s="10" t="s">
        <v>37</v>
      </c>
      <c r="I11" s="62" t="s">
        <v>111</v>
      </c>
    </row>
    <row r="12" spans="2:13" ht="42" customHeight="1">
      <c r="B12" s="11" t="s">
        <v>101</v>
      </c>
      <c r="C12" s="177" t="s">
        <v>219</v>
      </c>
      <c r="D12" s="165"/>
      <c r="E12" s="165"/>
      <c r="F12" s="165"/>
      <c r="G12" s="165"/>
      <c r="H12" s="165"/>
      <c r="I12" s="166"/>
    </row>
    <row r="13" spans="2:13" ht="30.65" customHeight="1">
      <c r="B13" s="11" t="s">
        <v>22</v>
      </c>
      <c r="C13" s="124" t="s">
        <v>107</v>
      </c>
      <c r="D13" s="141"/>
      <c r="E13" s="141"/>
      <c r="F13" s="141"/>
      <c r="G13" s="142"/>
      <c r="H13" s="21" t="s">
        <v>53</v>
      </c>
      <c r="I13" s="60" t="s">
        <v>98</v>
      </c>
    </row>
    <row r="14" spans="2:13" ht="27.65" customHeight="1">
      <c r="B14" s="170" t="s">
        <v>102</v>
      </c>
      <c r="C14" s="171" t="s">
        <v>108</v>
      </c>
      <c r="D14" s="172"/>
      <c r="E14" s="172"/>
      <c r="F14" s="172"/>
      <c r="G14" s="173"/>
      <c r="H14" s="12" t="s">
        <v>44</v>
      </c>
      <c r="I14" s="57" t="s">
        <v>29</v>
      </c>
    </row>
    <row r="15" spans="2:13" ht="27.65" customHeight="1">
      <c r="B15" s="95"/>
      <c r="C15" s="174"/>
      <c r="D15" s="175"/>
      <c r="E15" s="175"/>
      <c r="F15" s="175"/>
      <c r="G15" s="176"/>
      <c r="H15" s="12" t="s">
        <v>45</v>
      </c>
      <c r="I15" s="58" t="s">
        <v>100</v>
      </c>
    </row>
    <row r="16" spans="2:13" ht="38.15" customHeight="1">
      <c r="B16" s="11" t="s">
        <v>46</v>
      </c>
      <c r="C16" s="177" t="s">
        <v>217</v>
      </c>
      <c r="D16" s="178"/>
      <c r="E16" s="178"/>
      <c r="F16" s="165"/>
      <c r="G16" s="165"/>
      <c r="H16" s="12" t="s">
        <v>47</v>
      </c>
      <c r="I16" s="59" t="s">
        <v>30</v>
      </c>
    </row>
    <row r="17" spans="2:9" ht="31.75" customHeight="1">
      <c r="B17" s="11" t="s">
        <v>48</v>
      </c>
      <c r="C17" s="124" t="s">
        <v>109</v>
      </c>
      <c r="D17" s="125"/>
      <c r="E17" s="126"/>
      <c r="F17" s="27" t="s">
        <v>49</v>
      </c>
      <c r="G17" s="61">
        <v>10</v>
      </c>
      <c r="H17" s="28">
        <f>H8/G17</f>
        <v>2200</v>
      </c>
      <c r="I17" s="64" t="s">
        <v>59</v>
      </c>
    </row>
    <row r="18" spans="2:9" ht="31.75" customHeight="1" thickBot="1">
      <c r="B18" s="32" t="s">
        <v>50</v>
      </c>
      <c r="C18" s="167" t="s">
        <v>110</v>
      </c>
      <c r="D18" s="168"/>
      <c r="E18" s="168"/>
      <c r="F18" s="168"/>
      <c r="G18" s="168"/>
      <c r="H18" s="168"/>
      <c r="I18" s="169"/>
    </row>
    <row r="19" spans="2:9" ht="14.5" customHeight="1">
      <c r="B19" s="107" t="s">
        <v>58</v>
      </c>
      <c r="C19" s="109" t="s">
        <v>94</v>
      </c>
      <c r="D19" s="110"/>
      <c r="E19" s="111"/>
      <c r="F19" s="112" t="s">
        <v>97</v>
      </c>
      <c r="G19" s="113"/>
      <c r="H19" s="113"/>
      <c r="I19" s="114"/>
    </row>
    <row r="20" spans="2:9" s="2" customFormat="1" ht="46.4" customHeight="1" thickBot="1">
      <c r="B20" s="108"/>
      <c r="C20" s="63" t="s">
        <v>41</v>
      </c>
      <c r="D20" s="33" t="s">
        <v>220</v>
      </c>
      <c r="E20" s="34"/>
      <c r="F20" s="65" t="s">
        <v>96</v>
      </c>
      <c r="G20" s="36" t="s">
        <v>55</v>
      </c>
      <c r="H20" s="26" t="s">
        <v>221</v>
      </c>
      <c r="I20" s="35"/>
    </row>
    <row r="21" spans="2:9" ht="31.5" customHeight="1">
      <c r="B21" s="187" t="s">
        <v>42</v>
      </c>
      <c r="C21" s="189"/>
      <c r="D21" s="190"/>
      <c r="E21" s="190"/>
      <c r="F21" s="191"/>
      <c r="G21" s="191"/>
      <c r="H21" s="191"/>
      <c r="I21" s="192"/>
    </row>
    <row r="22" spans="2:9" ht="31.5" customHeight="1">
      <c r="B22" s="188"/>
      <c r="C22" s="193"/>
      <c r="D22" s="194"/>
      <c r="E22" s="194"/>
      <c r="F22" s="195"/>
      <c r="G22" s="195"/>
      <c r="H22" s="195"/>
      <c r="I22" s="196"/>
    </row>
    <row r="23" spans="2:9" ht="31.5" customHeight="1" thickBot="1">
      <c r="B23" s="188"/>
      <c r="C23" s="193"/>
      <c r="D23" s="194"/>
      <c r="E23" s="194"/>
      <c r="F23" s="195"/>
      <c r="G23" s="195"/>
      <c r="H23" s="195"/>
      <c r="I23" s="196"/>
    </row>
    <row r="24" spans="2:9" ht="31.5" customHeight="1">
      <c r="B24" s="87" t="s">
        <v>43</v>
      </c>
      <c r="C24" s="197"/>
      <c r="D24" s="198"/>
      <c r="E24" s="198"/>
      <c r="F24" s="199"/>
      <c r="G24" s="199"/>
      <c r="H24" s="199"/>
      <c r="I24" s="200"/>
    </row>
    <row r="25" spans="2:9" ht="31.5" customHeight="1">
      <c r="B25" s="88"/>
      <c r="C25" s="201"/>
      <c r="D25" s="202"/>
      <c r="E25" s="202"/>
      <c r="F25" s="203"/>
      <c r="G25" s="203"/>
      <c r="H25" s="203"/>
      <c r="I25" s="204"/>
    </row>
    <row r="26" spans="2:9" ht="31.5" customHeight="1" thickBot="1">
      <c r="B26" s="89"/>
      <c r="C26" s="183"/>
      <c r="D26" s="184"/>
      <c r="E26" s="184"/>
      <c r="F26" s="185"/>
      <c r="G26" s="185"/>
      <c r="H26" s="185"/>
      <c r="I26" s="186"/>
    </row>
    <row r="27" spans="2:9" ht="31.5" customHeight="1">
      <c r="B27" s="187" t="s">
        <v>40</v>
      </c>
      <c r="C27" s="189"/>
      <c r="D27" s="190"/>
      <c r="E27" s="190"/>
      <c r="F27" s="191"/>
      <c r="G27" s="191"/>
      <c r="H27" s="191"/>
      <c r="I27" s="192"/>
    </row>
    <row r="28" spans="2:9" ht="31.5" customHeight="1">
      <c r="B28" s="188"/>
      <c r="C28" s="193"/>
      <c r="D28" s="194"/>
      <c r="E28" s="194"/>
      <c r="F28" s="195"/>
      <c r="G28" s="195"/>
      <c r="H28" s="195"/>
      <c r="I28" s="196"/>
    </row>
    <row r="29" spans="2:9" ht="31.5" customHeight="1" thickBot="1">
      <c r="B29" s="188"/>
      <c r="C29" s="193"/>
      <c r="D29" s="194"/>
      <c r="E29" s="194"/>
      <c r="F29" s="195"/>
      <c r="G29" s="195"/>
      <c r="H29" s="195"/>
      <c r="I29" s="196"/>
    </row>
    <row r="30" spans="2:9" ht="31.5" customHeight="1">
      <c r="B30" s="87" t="s">
        <v>120</v>
      </c>
      <c r="C30" s="197"/>
      <c r="D30" s="198"/>
      <c r="E30" s="198"/>
      <c r="F30" s="199"/>
      <c r="G30" s="199"/>
      <c r="H30" s="199"/>
      <c r="I30" s="200"/>
    </row>
    <row r="31" spans="2:9" ht="31.5" customHeight="1">
      <c r="B31" s="88"/>
      <c r="C31" s="201"/>
      <c r="D31" s="202"/>
      <c r="E31" s="202"/>
      <c r="F31" s="203"/>
      <c r="G31" s="203"/>
      <c r="H31" s="203"/>
      <c r="I31" s="204"/>
    </row>
    <row r="32" spans="2:9" ht="31.5" customHeight="1" thickBot="1">
      <c r="B32" s="89"/>
      <c r="C32" s="179"/>
      <c r="D32" s="180"/>
      <c r="E32" s="180"/>
      <c r="F32" s="181"/>
      <c r="G32" s="181"/>
      <c r="H32" s="181"/>
      <c r="I32" s="182"/>
    </row>
  </sheetData>
  <mergeCells count="33">
    <mergeCell ref="B9:B11"/>
    <mergeCell ref="C9:G11"/>
    <mergeCell ref="H9:I9"/>
    <mergeCell ref="C17:E17"/>
    <mergeCell ref="G1:I1"/>
    <mergeCell ref="C7:F7"/>
    <mergeCell ref="H7:I7"/>
    <mergeCell ref="C8:F8"/>
    <mergeCell ref="C12:I12"/>
    <mergeCell ref="C13:G13"/>
    <mergeCell ref="B14:B15"/>
    <mergeCell ref="C14:G15"/>
    <mergeCell ref="C16:G16"/>
    <mergeCell ref="C18:I18"/>
    <mergeCell ref="B19:B20"/>
    <mergeCell ref="C19:E19"/>
    <mergeCell ref="F19:I19"/>
    <mergeCell ref="B21:B23"/>
    <mergeCell ref="C21:I21"/>
    <mergeCell ref="C22:I22"/>
    <mergeCell ref="C23:I23"/>
    <mergeCell ref="B30:B32"/>
    <mergeCell ref="C32:I32"/>
    <mergeCell ref="B24:B26"/>
    <mergeCell ref="C26:I26"/>
    <mergeCell ref="B27:B29"/>
    <mergeCell ref="C27:I27"/>
    <mergeCell ref="C28:I28"/>
    <mergeCell ref="C29:I29"/>
    <mergeCell ref="C24:I24"/>
    <mergeCell ref="C25:I25"/>
    <mergeCell ref="C30:I30"/>
    <mergeCell ref="C31:I31"/>
  </mergeCells>
  <phoneticPr fontId="4"/>
  <pageMargins left="0.11811023622047245" right="0.11811023622047245" top="0.74803149606299213" bottom="0.74803149606299213" header="0.31496062992125984" footer="0.31496062992125984"/>
  <pageSetup paperSize="9" scale="75"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100-000000000000}">
          <x14:formula1>
            <xm:f>区分!$J$12:$J$13</xm:f>
          </x14:formula1>
          <xm:sqref>I15</xm:sqref>
        </x14:dataValidation>
        <x14:dataValidation type="list" allowBlank="1" showInputMessage="1" showErrorMessage="1" xr:uid="{00000000-0002-0000-0100-000001000000}">
          <x14:formula1>
            <xm:f>区分!$J$8:$J$9</xm:f>
          </x14:formula1>
          <xm:sqref>I16 I14</xm:sqref>
        </x14:dataValidation>
        <x14:dataValidation type="list" allowBlank="1" showInputMessage="1" showErrorMessage="1" xr:uid="{00000000-0002-0000-0100-000002000000}">
          <x14:formula1>
            <xm:f>区分!$F$15:$F$27</xm:f>
          </x14:formula1>
          <xm:sqref>I6</xm:sqref>
        </x14:dataValidation>
        <x14:dataValidation type="list" allowBlank="1" showInputMessage="1" showErrorMessage="1" xr:uid="{00000000-0002-0000-0100-000003000000}">
          <x14:formula1>
            <xm:f>区分!$J$4:$J$5</xm:f>
          </x14:formula1>
          <xm:sqref>F20</xm:sqref>
        </x14:dataValidation>
        <x14:dataValidation type="list" allowBlank="1" showInputMessage="1" showErrorMessage="1" xr:uid="{00000000-0002-0000-0100-000004000000}">
          <x14:formula1>
            <xm:f>区分!$C$15:$C$20</xm:f>
          </x14:formula1>
          <xm:sqref>G6</xm:sqref>
        </x14:dataValidation>
        <x14:dataValidation type="list" allowBlank="1" showInputMessage="1" showErrorMessage="1" xr:uid="{00000000-0002-0000-0100-000005000000}">
          <x14:formula1>
            <xm:f>区分!$C$4:$C$12</xm:f>
          </x14:formula1>
          <xm:sqref>I5</xm:sqref>
        </x14:dataValidation>
        <x14:dataValidation type="list" allowBlank="1" showInputMessage="1" showErrorMessage="1" xr:uid="{00000000-0002-0000-0100-000006000000}">
          <x14:formula1>
            <xm:f>区分!$F$4:$F$9</xm:f>
          </x14:formula1>
          <xm:sqref>G5</xm:sqref>
        </x14:dataValidation>
        <x14:dataValidation type="list" allowBlank="1" showInputMessage="1" showErrorMessage="1" xr:uid="{00000000-0002-0000-0100-000007000000}">
          <x14:formula1>
            <xm:f>区分!$H$4:$H$8</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28"/>
  <sheetViews>
    <sheetView showGridLines="0" workbookViewId="0">
      <selection activeCell="Q21" sqref="Q21"/>
    </sheetView>
  </sheetViews>
  <sheetFormatPr defaultColWidth="8.81640625" defaultRowHeight="15"/>
  <cols>
    <col min="1" max="1" width="3.54296875" style="14" customWidth="1"/>
    <col min="2" max="2" width="3.1796875" style="14" customWidth="1"/>
    <col min="3" max="3" width="17.26953125" style="14" bestFit="1" customWidth="1"/>
    <col min="4" max="4" width="3.54296875" style="14" customWidth="1"/>
    <col min="5" max="5" width="3.7265625" style="14" customWidth="1"/>
    <col min="6" max="6" width="10.453125" style="14" customWidth="1"/>
    <col min="7" max="7" width="3.453125" style="14" customWidth="1"/>
    <col min="8" max="8" width="12.453125" style="14" bestFit="1" customWidth="1"/>
    <col min="9" max="9" width="2.1796875" style="14" customWidth="1"/>
    <col min="10" max="10" width="9" style="17" bestFit="1" customWidth="1"/>
    <col min="11" max="14" width="8.81640625" style="14"/>
    <col min="15" max="15" width="21" style="14" customWidth="1"/>
    <col min="16" max="16" width="29.54296875" style="14" customWidth="1"/>
    <col min="17" max="17" width="29.81640625" style="14" customWidth="1"/>
    <col min="18" max="18" width="10.26953125" style="14" customWidth="1"/>
    <col min="19" max="19" width="11.26953125" style="14" customWidth="1"/>
    <col min="20" max="20" width="17.7265625" style="14" customWidth="1"/>
    <col min="21" max="16384" width="8.81640625" style="14"/>
  </cols>
  <sheetData>
    <row r="3" spans="2:21">
      <c r="B3" s="13" t="s">
        <v>63</v>
      </c>
      <c r="E3" s="13" t="s">
        <v>68</v>
      </c>
      <c r="H3" s="13" t="s">
        <v>64</v>
      </c>
      <c r="J3" s="13" t="s">
        <v>103</v>
      </c>
      <c r="M3" s="29" t="s">
        <v>158</v>
      </c>
      <c r="P3" s="29" t="s">
        <v>159</v>
      </c>
      <c r="S3" s="13" t="s">
        <v>176</v>
      </c>
      <c r="U3" s="13" t="s">
        <v>182</v>
      </c>
    </row>
    <row r="4" spans="2:21">
      <c r="B4" s="15">
        <v>1</v>
      </c>
      <c r="C4" s="14" t="s">
        <v>6</v>
      </c>
      <c r="E4" s="15">
        <v>1</v>
      </c>
      <c r="F4" s="14" t="s">
        <v>14</v>
      </c>
      <c r="H4" s="14" t="s">
        <v>32</v>
      </c>
      <c r="J4" s="14" t="s">
        <v>95</v>
      </c>
      <c r="M4" s="15">
        <v>1</v>
      </c>
      <c r="N4" s="83" t="s">
        <v>160</v>
      </c>
      <c r="P4" s="15">
        <v>1</v>
      </c>
      <c r="Q4" s="83" t="s">
        <v>169</v>
      </c>
      <c r="S4" s="14" t="s">
        <v>177</v>
      </c>
      <c r="U4" s="14" t="s">
        <v>183</v>
      </c>
    </row>
    <row r="5" spans="2:21">
      <c r="B5" s="15">
        <v>2</v>
      </c>
      <c r="C5" s="14" t="s">
        <v>7</v>
      </c>
      <c r="E5" s="15">
        <v>2</v>
      </c>
      <c r="F5" s="14" t="s">
        <v>15</v>
      </c>
      <c r="H5" s="14" t="s">
        <v>33</v>
      </c>
      <c r="J5" s="14" t="s">
        <v>96</v>
      </c>
      <c r="M5" s="15">
        <v>2</v>
      </c>
      <c r="N5" s="83" t="s">
        <v>161</v>
      </c>
      <c r="P5" s="15">
        <v>2</v>
      </c>
      <c r="Q5" s="83" t="s">
        <v>170</v>
      </c>
      <c r="S5" s="14" t="s">
        <v>178</v>
      </c>
      <c r="U5" s="14" t="s">
        <v>184</v>
      </c>
    </row>
    <row r="6" spans="2:21">
      <c r="B6" s="15">
        <v>3</v>
      </c>
      <c r="C6" s="14" t="s">
        <v>51</v>
      </c>
      <c r="E6" s="15">
        <v>3</v>
      </c>
      <c r="F6" s="14" t="s">
        <v>16</v>
      </c>
      <c r="H6" s="14" t="s">
        <v>34</v>
      </c>
      <c r="M6" s="15">
        <v>3</v>
      </c>
      <c r="N6" s="83" t="s">
        <v>162</v>
      </c>
      <c r="P6" s="15">
        <v>3</v>
      </c>
      <c r="Q6" s="83" t="s">
        <v>171</v>
      </c>
      <c r="S6" s="14" t="s">
        <v>179</v>
      </c>
      <c r="U6" s="17"/>
    </row>
    <row r="7" spans="2:21">
      <c r="B7" s="15">
        <v>4</v>
      </c>
      <c r="C7" s="14" t="s">
        <v>8</v>
      </c>
      <c r="E7" s="15">
        <v>4</v>
      </c>
      <c r="F7" s="14" t="s">
        <v>17</v>
      </c>
      <c r="H7" s="14" t="s">
        <v>35</v>
      </c>
      <c r="J7" s="13" t="s">
        <v>65</v>
      </c>
      <c r="M7" s="15">
        <v>4</v>
      </c>
      <c r="N7" s="83" t="s">
        <v>163</v>
      </c>
      <c r="P7" s="15">
        <v>4</v>
      </c>
      <c r="Q7" s="83" t="s">
        <v>172</v>
      </c>
      <c r="S7" s="14" t="s">
        <v>180</v>
      </c>
      <c r="U7" s="13" t="s">
        <v>185</v>
      </c>
    </row>
    <row r="8" spans="2:21">
      <c r="B8" s="15">
        <v>5</v>
      </c>
      <c r="C8" s="14" t="s">
        <v>9</v>
      </c>
      <c r="E8" s="15">
        <v>5</v>
      </c>
      <c r="F8" s="14" t="s">
        <v>18</v>
      </c>
      <c r="H8" s="14" t="s">
        <v>36</v>
      </c>
      <c r="J8" s="14" t="s">
        <v>29</v>
      </c>
      <c r="M8" s="15">
        <v>5</v>
      </c>
      <c r="N8" s="83" t="s">
        <v>164</v>
      </c>
      <c r="P8" s="15">
        <v>5</v>
      </c>
      <c r="Q8" s="83" t="s">
        <v>173</v>
      </c>
      <c r="S8" s="14" t="s">
        <v>174</v>
      </c>
      <c r="U8" s="14" t="s">
        <v>186</v>
      </c>
    </row>
    <row r="9" spans="2:21">
      <c r="B9" s="15">
        <v>6</v>
      </c>
      <c r="C9" s="14" t="s">
        <v>10</v>
      </c>
      <c r="E9" s="15">
        <v>6</v>
      </c>
      <c r="F9" s="14" t="s">
        <v>19</v>
      </c>
      <c r="H9" s="14" t="s">
        <v>39</v>
      </c>
      <c r="J9" s="14" t="s">
        <v>30</v>
      </c>
      <c r="M9" s="15">
        <v>6</v>
      </c>
      <c r="N9" s="83" t="s">
        <v>165</v>
      </c>
      <c r="P9" s="15">
        <v>6</v>
      </c>
      <c r="Q9" s="83" t="s">
        <v>175</v>
      </c>
      <c r="S9" s="14" t="s">
        <v>181</v>
      </c>
      <c r="U9" s="14" t="s">
        <v>187</v>
      </c>
    </row>
    <row r="10" spans="2:21">
      <c r="B10" s="15">
        <v>7</v>
      </c>
      <c r="C10" s="14" t="s">
        <v>11</v>
      </c>
      <c r="E10" s="16"/>
      <c r="M10" s="15">
        <v>7</v>
      </c>
      <c r="N10" s="83" t="s">
        <v>166</v>
      </c>
      <c r="P10" s="83"/>
      <c r="U10" s="17"/>
    </row>
    <row r="11" spans="2:21">
      <c r="B11" s="15">
        <v>8</v>
      </c>
      <c r="C11" s="14" t="s">
        <v>12</v>
      </c>
      <c r="E11" s="16"/>
      <c r="J11" s="13" t="s">
        <v>92</v>
      </c>
      <c r="M11" s="15">
        <v>8</v>
      </c>
      <c r="N11" s="83" t="s">
        <v>167</v>
      </c>
      <c r="P11" s="16"/>
      <c r="U11" s="13" t="s">
        <v>188</v>
      </c>
    </row>
    <row r="12" spans="2:21">
      <c r="B12" s="15">
        <v>9</v>
      </c>
      <c r="C12" s="14" t="s">
        <v>13</v>
      </c>
      <c r="E12" s="16"/>
      <c r="J12" s="14" t="s">
        <v>99</v>
      </c>
      <c r="M12" s="15">
        <v>9</v>
      </c>
      <c r="N12" s="83" t="s">
        <v>168</v>
      </c>
      <c r="P12" s="16"/>
      <c r="U12" s="14" t="s">
        <v>189</v>
      </c>
    </row>
    <row r="13" spans="2:21">
      <c r="E13" s="16"/>
      <c r="J13" s="14" t="s">
        <v>100</v>
      </c>
      <c r="P13" s="16"/>
      <c r="U13" s="14" t="s">
        <v>190</v>
      </c>
    </row>
    <row r="14" spans="2:21">
      <c r="B14" s="29" t="s">
        <v>66</v>
      </c>
      <c r="E14" s="29" t="s">
        <v>67</v>
      </c>
      <c r="M14" s="29" t="s">
        <v>191</v>
      </c>
      <c r="P14" s="29" t="s">
        <v>208</v>
      </c>
      <c r="U14" s="17"/>
    </row>
    <row r="15" spans="2:21">
      <c r="B15" s="13">
        <v>1</v>
      </c>
      <c r="C15" s="14" t="s">
        <v>69</v>
      </c>
      <c r="E15" s="15">
        <v>1</v>
      </c>
      <c r="F15" s="14" t="s">
        <v>80</v>
      </c>
      <c r="M15" s="15">
        <v>1</v>
      </c>
      <c r="N15" s="14" t="s">
        <v>192</v>
      </c>
      <c r="P15" s="15">
        <v>1</v>
      </c>
      <c r="Q15" s="14" t="s">
        <v>196</v>
      </c>
      <c r="U15" s="17"/>
    </row>
    <row r="16" spans="2:21">
      <c r="B16" s="13">
        <v>2</v>
      </c>
      <c r="C16" s="14" t="s">
        <v>70</v>
      </c>
      <c r="E16" s="15">
        <v>2</v>
      </c>
      <c r="F16" s="14" t="s">
        <v>81</v>
      </c>
      <c r="M16" s="15">
        <v>2</v>
      </c>
      <c r="N16" s="14" t="s">
        <v>193</v>
      </c>
      <c r="P16" s="15">
        <v>2</v>
      </c>
      <c r="Q16" s="14" t="s">
        <v>197</v>
      </c>
      <c r="U16" s="17"/>
    </row>
    <row r="17" spans="2:21">
      <c r="B17" s="13">
        <v>3</v>
      </c>
      <c r="C17" s="14" t="s">
        <v>71</v>
      </c>
      <c r="E17" s="15">
        <v>3</v>
      </c>
      <c r="F17" s="14" t="s">
        <v>82</v>
      </c>
      <c r="M17" s="15">
        <v>3</v>
      </c>
      <c r="N17" s="14" t="s">
        <v>194</v>
      </c>
      <c r="P17" s="15">
        <v>3</v>
      </c>
      <c r="Q17" s="14" t="s">
        <v>198</v>
      </c>
      <c r="U17" s="17"/>
    </row>
    <row r="18" spans="2:21">
      <c r="B18" s="13">
        <v>4</v>
      </c>
      <c r="C18" s="14" t="s">
        <v>72</v>
      </c>
      <c r="E18" s="15">
        <v>4</v>
      </c>
      <c r="F18" s="14" t="s">
        <v>83</v>
      </c>
      <c r="M18" s="15">
        <v>4</v>
      </c>
      <c r="N18" s="14" t="s">
        <v>195</v>
      </c>
      <c r="P18" s="15">
        <v>4</v>
      </c>
      <c r="Q18" s="14" t="s">
        <v>199</v>
      </c>
      <c r="U18" s="17"/>
    </row>
    <row r="19" spans="2:21">
      <c r="B19" s="13">
        <v>5</v>
      </c>
      <c r="C19" s="14" t="s">
        <v>73</v>
      </c>
      <c r="E19" s="15">
        <v>5</v>
      </c>
      <c r="F19" s="14" t="s">
        <v>84</v>
      </c>
      <c r="M19" s="15">
        <v>5</v>
      </c>
      <c r="N19" s="14" t="s">
        <v>209</v>
      </c>
      <c r="P19" s="15">
        <v>5</v>
      </c>
      <c r="Q19" s="14" t="s">
        <v>200</v>
      </c>
      <c r="U19" s="17"/>
    </row>
    <row r="20" spans="2:21">
      <c r="B20" s="13">
        <v>6</v>
      </c>
      <c r="C20" s="14" t="s">
        <v>74</v>
      </c>
      <c r="E20" s="15">
        <v>6</v>
      </c>
      <c r="F20" s="14" t="s">
        <v>85</v>
      </c>
      <c r="M20" s="15">
        <v>6</v>
      </c>
      <c r="N20" s="14" t="s">
        <v>175</v>
      </c>
      <c r="P20" s="15">
        <v>6</v>
      </c>
      <c r="Q20" s="14" t="s">
        <v>201</v>
      </c>
      <c r="U20" s="17"/>
    </row>
    <row r="21" spans="2:21">
      <c r="E21" s="15">
        <v>7</v>
      </c>
      <c r="F21" s="14" t="s">
        <v>86</v>
      </c>
      <c r="P21" s="15">
        <v>7</v>
      </c>
      <c r="Q21" s="14" t="s">
        <v>202</v>
      </c>
      <c r="U21" s="17"/>
    </row>
    <row r="22" spans="2:21">
      <c r="E22" s="15">
        <v>8</v>
      </c>
      <c r="F22" s="14" t="s">
        <v>87</v>
      </c>
      <c r="P22" s="15">
        <v>8</v>
      </c>
      <c r="Q22" s="14" t="s">
        <v>203</v>
      </c>
      <c r="U22" s="17"/>
    </row>
    <row r="23" spans="2:21">
      <c r="E23" s="15" t="s">
        <v>75</v>
      </c>
      <c r="F23" s="14" t="s">
        <v>88</v>
      </c>
      <c r="P23" s="15" t="s">
        <v>75</v>
      </c>
      <c r="Q23" s="14" t="s">
        <v>204</v>
      </c>
      <c r="U23" s="17"/>
    </row>
    <row r="24" spans="2:21">
      <c r="E24" s="15" t="s">
        <v>76</v>
      </c>
      <c r="F24" s="14" t="s">
        <v>89</v>
      </c>
      <c r="P24" s="15" t="s">
        <v>76</v>
      </c>
      <c r="Q24" s="14" t="s">
        <v>205</v>
      </c>
      <c r="U24" s="17"/>
    </row>
    <row r="25" spans="2:21">
      <c r="E25" s="15" t="s">
        <v>77</v>
      </c>
      <c r="F25" s="14" t="s">
        <v>90</v>
      </c>
      <c r="P25" s="15" t="s">
        <v>77</v>
      </c>
      <c r="Q25" s="14" t="s">
        <v>206</v>
      </c>
      <c r="U25" s="17"/>
    </row>
    <row r="26" spans="2:21">
      <c r="E26" s="15" t="s">
        <v>78</v>
      </c>
      <c r="F26" s="14" t="s">
        <v>91</v>
      </c>
      <c r="P26" s="15" t="s">
        <v>78</v>
      </c>
      <c r="Q26" s="14" t="s">
        <v>207</v>
      </c>
      <c r="U26" s="17"/>
    </row>
    <row r="27" spans="2:21">
      <c r="E27" s="15" t="s">
        <v>79</v>
      </c>
      <c r="F27" s="14" t="s">
        <v>74</v>
      </c>
      <c r="P27" s="15" t="s">
        <v>79</v>
      </c>
      <c r="Q27" s="14" t="s">
        <v>174</v>
      </c>
      <c r="U27" s="17"/>
    </row>
    <row r="28" spans="2:21">
      <c r="U28" s="17"/>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3</vt:i4>
      </vt:variant>
    </vt:vector>
  </HeadingPairs>
  <TitlesOfParts>
    <vt:vector size="7" baseType="lpstr">
      <vt:lpstr>Request (EN)</vt:lpstr>
      <vt:lpstr>Request</vt:lpstr>
      <vt:lpstr>Sample</vt:lpstr>
      <vt:lpstr>区分</vt:lpstr>
      <vt:lpstr>Request!Area_de_impressao</vt:lpstr>
      <vt:lpstr>'Request (EN)'!Area_de_impressao</vt:lpstr>
      <vt:lpstr>Sample!Area_de_impressao</vt:lpstr>
    </vt:vector>
  </TitlesOfParts>
  <Company>MinebeaMitsumi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ユーザー</dc:creator>
  <cp:lastModifiedBy>Claudio SANTOS</cp:lastModifiedBy>
  <cp:lastPrinted>2026-05-05T18:16:29Z</cp:lastPrinted>
  <dcterms:created xsi:type="dcterms:W3CDTF">2022-01-31T07:26:08Z</dcterms:created>
  <dcterms:modified xsi:type="dcterms:W3CDTF">2026-06-19T18:27:28Z</dcterms:modified>
</cp:coreProperties>
</file>