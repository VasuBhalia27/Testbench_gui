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DE420BEC-5126-4BD2-B11C-163CED79430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Ps_Final" sheetId="2" r:id="rId1"/>
    <sheet name="Tabelle1" sheetId="1" r:id="rId2"/>
  </sheets>
  <definedNames>
    <definedName name="_xlnm._FilterDatabase" localSheetId="1" hidden="1">Tabelle1!$A$2:$AA$59</definedName>
    <definedName name="_xlnm._FilterDatabase" localSheetId="0" hidden="1">TPs_Final!$F$3:$F$40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8" i="1" l="1"/>
  <c r="L58" i="1"/>
  <c r="M56" i="1"/>
  <c r="L56" i="1"/>
  <c r="M51" i="1"/>
  <c r="L51" i="1"/>
  <c r="L40" i="1"/>
  <c r="M40" i="1"/>
  <c r="I14" i="1"/>
  <c r="H14" i="1"/>
  <c r="I41" i="1"/>
  <c r="H41" i="1"/>
  <c r="I40" i="1"/>
  <c r="H40" i="1"/>
  <c r="I24" i="1"/>
  <c r="H24" i="1"/>
  <c r="H20" i="1"/>
  <c r="I20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3" i="1"/>
  <c r="I43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26" i="1"/>
  <c r="I26" i="1"/>
  <c r="H27" i="1"/>
  <c r="I27" i="1"/>
  <c r="H28" i="1"/>
  <c r="I28" i="1"/>
  <c r="H21" i="1"/>
  <c r="I21" i="1"/>
  <c r="H23" i="1"/>
  <c r="I23" i="1"/>
  <c r="H19" i="1"/>
  <c r="I19" i="1"/>
  <c r="I18" i="1"/>
  <c r="H18" i="1"/>
  <c r="H10" i="1"/>
  <c r="I10" i="1"/>
  <c r="H17" i="1"/>
  <c r="I17" i="1"/>
  <c r="I9" i="1"/>
  <c r="H9" i="1"/>
</calcChain>
</file>

<file path=xl/sharedStrings.xml><?xml version="1.0" encoding="utf-8"?>
<sst xmlns="http://schemas.openxmlformats.org/spreadsheetml/2006/main" count="609" uniqueCount="238">
  <si>
    <t>TP</t>
  </si>
  <si>
    <t>Position X</t>
  </si>
  <si>
    <t>Position Y</t>
  </si>
  <si>
    <t>Signal Name</t>
  </si>
  <si>
    <t>GND</t>
  </si>
  <si>
    <t>TP100</t>
  </si>
  <si>
    <t>TP102</t>
  </si>
  <si>
    <t>TP105</t>
  </si>
  <si>
    <t>VDD_3V3</t>
  </si>
  <si>
    <t>TP402</t>
  </si>
  <si>
    <t>TP406</t>
  </si>
  <si>
    <t>TP407</t>
  </si>
  <si>
    <t>BOT</t>
  </si>
  <si>
    <t>TOP</t>
  </si>
  <si>
    <t>TP400</t>
  </si>
  <si>
    <t>VCC_NFC</t>
  </si>
  <si>
    <t>x</t>
  </si>
  <si>
    <t>Size mm</t>
  </si>
  <si>
    <t>Diameter [mm]</t>
  </si>
  <si>
    <t>TP101</t>
  </si>
  <si>
    <t>TP108</t>
  </si>
  <si>
    <t>FB100</t>
  </si>
  <si>
    <t>Connector</t>
  </si>
  <si>
    <t xml:space="preserve">Testpoints for I330 B4 Sample </t>
  </si>
  <si>
    <t>C654-5_132309000039E</t>
  </si>
  <si>
    <t>BAT</t>
  </si>
  <si>
    <t>PS</t>
  </si>
  <si>
    <t>BAT_PROT</t>
  </si>
  <si>
    <t>3.8V Buck Regulator</t>
  </si>
  <si>
    <t>VDD_3V8</t>
  </si>
  <si>
    <t>TP200</t>
  </si>
  <si>
    <t>Microcontroller Unit</t>
  </si>
  <si>
    <t>TP300</t>
  </si>
  <si>
    <t>TP305</t>
  </si>
  <si>
    <t>TP307</t>
  </si>
  <si>
    <t>DO_PWR_SG</t>
  </si>
  <si>
    <t>SWITCH_PWR_SG</t>
  </si>
  <si>
    <t>SG POWER SWITCH</t>
  </si>
  <si>
    <t>Circuit Unit</t>
  </si>
  <si>
    <t>Type</t>
  </si>
  <si>
    <t>Direction (I/O)</t>
  </si>
  <si>
    <t>OUTPUT</t>
  </si>
  <si>
    <t>DIGITAL</t>
  </si>
  <si>
    <t>ANALOG</t>
  </si>
  <si>
    <t>INPUT</t>
  </si>
  <si>
    <t>TP128</t>
  </si>
  <si>
    <t>BAT_PROT_MOT</t>
  </si>
  <si>
    <t>DO_BYPASS_CAP</t>
  </si>
  <si>
    <t>PWM_MOTOR_DRIVER</t>
  </si>
  <si>
    <t>MOTOR_DRIVER</t>
  </si>
  <si>
    <t>TP408</t>
  </si>
  <si>
    <t>TP409</t>
  </si>
  <si>
    <t>TP411</t>
  </si>
  <si>
    <t>DO_MOTOR_DIR</t>
  </si>
  <si>
    <t>DO_MOTOR_NSLEEP</t>
  </si>
  <si>
    <t>DO_MOTOR_NFAULT</t>
  </si>
  <si>
    <t>AI_MOTOR_VISEN</t>
  </si>
  <si>
    <t>TP405/411</t>
  </si>
  <si>
    <t>TP414</t>
  </si>
  <si>
    <t>TP415</t>
  </si>
  <si>
    <t>DRV_OUT_A</t>
  </si>
  <si>
    <t>DRV_OUT_B</t>
  </si>
  <si>
    <t>TP600</t>
  </si>
  <si>
    <t>AI_LED_DIAG</t>
  </si>
  <si>
    <t>LED DRIVER</t>
  </si>
  <si>
    <t>TP602</t>
  </si>
  <si>
    <t>LED_OUT</t>
  </si>
  <si>
    <t>TP605</t>
  </si>
  <si>
    <t>DO_EOS</t>
  </si>
  <si>
    <t>EOS INTERFACE</t>
  </si>
  <si>
    <t>TP612</t>
  </si>
  <si>
    <t>AI_EOS_DIAG</t>
  </si>
  <si>
    <t>TP613</t>
  </si>
  <si>
    <t>EOS_OUT</t>
  </si>
  <si>
    <t>TP614</t>
  </si>
  <si>
    <t>IPB_GROUND</t>
  </si>
  <si>
    <t>TP618</t>
  </si>
  <si>
    <t>AI_BAT_REF</t>
  </si>
  <si>
    <t>BATTERY MONITORING</t>
  </si>
  <si>
    <t>TP620</t>
  </si>
  <si>
    <t>DO_BAT_REF</t>
  </si>
  <si>
    <t>TP700</t>
  </si>
  <si>
    <t>NFC TRANSCEIVER</t>
  </si>
  <si>
    <t>TP703</t>
  </si>
  <si>
    <t>TP704</t>
  </si>
  <si>
    <t>TP705</t>
  </si>
  <si>
    <t>TP706</t>
  </si>
  <si>
    <t>TP707</t>
  </si>
  <si>
    <t>TP708</t>
  </si>
  <si>
    <t>DI_NFC_IRQ</t>
  </si>
  <si>
    <t>SPI_MISO</t>
  </si>
  <si>
    <t>SPI_MOSI</t>
  </si>
  <si>
    <t>SPI_NFC_CS</t>
  </si>
  <si>
    <t>SPI_CLK</t>
  </si>
  <si>
    <t>DO_NFC_EN</t>
  </si>
  <si>
    <t xml:space="preserve">INPUT   </t>
  </si>
  <si>
    <t xml:space="preserve">Reference from 2D model: x:6,428 y:8,702 </t>
  </si>
  <si>
    <t>DO_CAN_SLPN</t>
  </si>
  <si>
    <t>CAN INTERFACE ACC</t>
  </si>
  <si>
    <t>DO_LIN_EN</t>
  </si>
  <si>
    <t>TP118</t>
  </si>
  <si>
    <t>LIN INTERFACE ACC</t>
  </si>
  <si>
    <t>TP218</t>
  </si>
  <si>
    <t xml:space="preserve">RESET </t>
  </si>
  <si>
    <t>TP416</t>
  </si>
  <si>
    <t>TP417</t>
  </si>
  <si>
    <t>DO_MOTOR_DIAG_EN</t>
  </si>
  <si>
    <t>AI_MOTOR_DIAG</t>
  </si>
  <si>
    <t>MOTOR DIAGNOSTIC</t>
  </si>
  <si>
    <t>B4_Sample_Prio</t>
  </si>
  <si>
    <t>DAQ</t>
  </si>
  <si>
    <t>Port</t>
  </si>
  <si>
    <t xml:space="preserve">VT SYST </t>
  </si>
  <si>
    <t xml:space="preserve">Port </t>
  </si>
  <si>
    <t>PWM</t>
  </si>
  <si>
    <t>GROUND</t>
  </si>
  <si>
    <t>-</t>
  </si>
  <si>
    <t>CON_CAN_H</t>
  </si>
  <si>
    <t>CON_CAN_L</t>
  </si>
  <si>
    <t>COMM</t>
  </si>
  <si>
    <t>VN1640</t>
  </si>
  <si>
    <t>DAIO CH5 (AIN)</t>
  </si>
  <si>
    <t>DAIO CH5 (DIN0)</t>
  </si>
  <si>
    <t>DAIO CH5 (DIN1)</t>
  </si>
  <si>
    <t>NI6002</t>
  </si>
  <si>
    <t>???</t>
  </si>
  <si>
    <t>X</t>
  </si>
  <si>
    <t>Position from Bot to Top(X)</t>
  </si>
  <si>
    <t>Position from Bot to Top(Y)</t>
  </si>
  <si>
    <t>TP601</t>
  </si>
  <si>
    <t>PWM_LED</t>
  </si>
  <si>
    <t>Current_Hook instead</t>
  </si>
  <si>
    <t>#???</t>
  </si>
  <si>
    <t>Testcase</t>
  </si>
  <si>
    <t>Testcases</t>
  </si>
  <si>
    <t>C654-6_132309000039F</t>
  </si>
  <si>
    <t>TP110</t>
  </si>
  <si>
    <t>TP405</t>
  </si>
  <si>
    <t>AI2</t>
  </si>
  <si>
    <t>P0.4</t>
  </si>
  <si>
    <t>P0.3</t>
  </si>
  <si>
    <t>P0.0</t>
  </si>
  <si>
    <t>P0.6</t>
  </si>
  <si>
    <t>AI4</t>
  </si>
  <si>
    <t>AI3</t>
  </si>
  <si>
    <t>P0.5</t>
  </si>
  <si>
    <t>P0.1</t>
  </si>
  <si>
    <t>AI1</t>
  </si>
  <si>
    <t>AI5</t>
  </si>
  <si>
    <t>P0.2</t>
  </si>
  <si>
    <t>Req.</t>
  </si>
  <si>
    <t>NI-6002</t>
  </si>
  <si>
    <t>P0.7</t>
  </si>
  <si>
    <t>P1.3</t>
  </si>
  <si>
    <t>P1.2</t>
  </si>
  <si>
    <t>P1.1</t>
  </si>
  <si>
    <t>Automatic Function Testbench</t>
  </si>
  <si>
    <t>SemiAutomatic Function Testbench</t>
  </si>
  <si>
    <t>Device</t>
  </si>
  <si>
    <t>CHANNEL</t>
  </si>
  <si>
    <t>Comment</t>
  </si>
  <si>
    <t>Current Probe</t>
  </si>
  <si>
    <t>VT2848</t>
  </si>
  <si>
    <t>Con1 - CH4 - Pin13</t>
  </si>
  <si>
    <t>Con1 - CH5 - Pin12</t>
  </si>
  <si>
    <t>Con1 - CH6 - Pin11</t>
  </si>
  <si>
    <t>VT2710</t>
  </si>
  <si>
    <t>Con1-Pin5</t>
  </si>
  <si>
    <t>Con1-Pin6</t>
  </si>
  <si>
    <t>Con1-Pin4</t>
  </si>
  <si>
    <t>Con1-Pin7</t>
  </si>
  <si>
    <t>Con2 - CH19 - Pin14</t>
  </si>
  <si>
    <t>Con2 - CH20 - Pin13</t>
  </si>
  <si>
    <t>VT2816</t>
  </si>
  <si>
    <t>VoltStim - CH13 - Pin 8</t>
  </si>
  <si>
    <t>Con1 - CH8 - Pin9</t>
  </si>
  <si>
    <t>VoltStim - CH14 - Pin 6</t>
  </si>
  <si>
    <t>VoltStim - CH15 - Pin 4</t>
  </si>
  <si>
    <t>Con1 - CH6- PIN11</t>
  </si>
  <si>
    <t>Con1 - CH4 - PIN10</t>
  </si>
  <si>
    <t>Con1 - CH3 - PIN14</t>
  </si>
  <si>
    <t>Con1 - CH2 - Pin15</t>
  </si>
  <si>
    <t>Con2 - CH18 - Pin15</t>
  </si>
  <si>
    <t>Con2 - CH17 - Pin16</t>
  </si>
  <si>
    <t>Con1 - CH2 - PIN14</t>
  </si>
  <si>
    <t>Con1 - CH3 - PIN12</t>
  </si>
  <si>
    <t>TP126</t>
  </si>
  <si>
    <t>NFC Buck regulator</t>
  </si>
  <si>
    <t>TP403</t>
  </si>
  <si>
    <t>TP404</t>
  </si>
  <si>
    <t>TOP4</t>
  </si>
  <si>
    <t>TOP8</t>
  </si>
  <si>
    <t>TOP5</t>
  </si>
  <si>
    <t>TOP1</t>
  </si>
  <si>
    <t>TOP9</t>
  </si>
  <si>
    <t>TOP11</t>
  </si>
  <si>
    <t>TOP12</t>
  </si>
  <si>
    <t>TOP14</t>
  </si>
  <si>
    <t>TOP13</t>
  </si>
  <si>
    <t>TOP10</t>
  </si>
  <si>
    <t>TOP15</t>
  </si>
  <si>
    <t>TOP6</t>
  </si>
  <si>
    <t>BOT3</t>
  </si>
  <si>
    <t>BOT9</t>
  </si>
  <si>
    <t>BOT10</t>
  </si>
  <si>
    <t>BOT5</t>
  </si>
  <si>
    <t>BOT13</t>
  </si>
  <si>
    <t>BOT1</t>
  </si>
  <si>
    <t>BOT15</t>
  </si>
  <si>
    <t>BOT7</t>
  </si>
  <si>
    <t>BOT4</t>
  </si>
  <si>
    <t>Needlebed pinout SUBD</t>
  </si>
  <si>
    <t>Con1 - CH6 - PIN6</t>
  </si>
  <si>
    <t>Con1 - CH11 - PIN6</t>
  </si>
  <si>
    <t>Con1 - CH12 - Pin5</t>
  </si>
  <si>
    <t>TP221</t>
  </si>
  <si>
    <t>TP603</t>
  </si>
  <si>
    <t>TP106</t>
  </si>
  <si>
    <t>PWM_MOTOR_DRIVER_IN1</t>
  </si>
  <si>
    <t>PWM_MOTOR_DRIVER_IN2</t>
  </si>
  <si>
    <t>TP don't exist anymore</t>
  </si>
  <si>
    <t>TP606</t>
  </si>
  <si>
    <t>TP619</t>
  </si>
  <si>
    <t>TP622</t>
  </si>
  <si>
    <t>To be filled</t>
  </si>
  <si>
    <t>BOT2</t>
  </si>
  <si>
    <t>TOP20</t>
  </si>
  <si>
    <t>TOP21</t>
  </si>
  <si>
    <t>TOP23</t>
  </si>
  <si>
    <t>TOP24</t>
  </si>
  <si>
    <t>BOT6</t>
  </si>
  <si>
    <t>BOT8</t>
  </si>
  <si>
    <t>TP310</t>
  </si>
  <si>
    <t>SG1_OPAMP_OUT</t>
  </si>
  <si>
    <t>SG2_OPAMP_OUT</t>
  </si>
  <si>
    <t>TP321</t>
  </si>
  <si>
    <t>Integrated OPAMP</t>
  </si>
  <si>
    <t>TP326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</si>
</sst>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585961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indexed="12"/>
      <name val="Calibri"/>
      <family val="2"/>
    </font>
    <font>
      <sz val="11"/>
      <name val="Calibri"/>
      <family val="2"/>
      <scheme val="minor"/>
    </font>
    <font>
      <u/>
      <sz val="11"/>
      <color indexed="12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0" fillId="2" borderId="0" xfId="0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/>
    <xf numFmtId="164" fontId="0" fillId="3" borderId="1" xfId="0" applyNumberFormat="1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2" xfId="0" applyFill="1" applyBorder="1"/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164" fontId="0" fillId="7" borderId="1" xfId="0" applyNumberFormat="1" applyFill="1" applyBorder="1"/>
    <xf numFmtId="0" fontId="0" fillId="8" borderId="0" xfId="0" applyFill="1"/>
    <xf numFmtId="0" fontId="1" fillId="0" borderId="1" xfId="0" applyFont="1" applyBorder="1"/>
    <xf numFmtId="0" fontId="0" fillId="3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/>
    <xf numFmtId="0" fontId="1" fillId="10" borderId="1" xfId="0" applyFont="1" applyFill="1" applyBorder="1"/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/>
    <xf numFmtId="0" fontId="0" fillId="10" borderId="0" xfId="0" applyFill="1"/>
    <xf numFmtId="0" fontId="0" fillId="0" borderId="0" xfId="0" applyAlignment="1">
      <alignment horizontal="left"/>
    </xf>
    <xf numFmtId="0" fontId="0" fillId="4" borderId="2" xfId="0" applyFill="1" applyBorder="1" applyAlignment="1">
      <alignment horizontal="left"/>
    </xf>
    <xf numFmtId="0" fontId="4" fillId="0" borderId="0" xfId="1" applyAlignment="1">
      <alignment horizontal="left"/>
    </xf>
    <xf numFmtId="0" fontId="5" fillId="0" borderId="0" xfId="0" applyFont="1" applyAlignment="1">
      <alignment vertical="top"/>
    </xf>
    <xf numFmtId="0" fontId="6" fillId="3" borderId="1" xfId="0" applyFont="1" applyFill="1" applyBorder="1"/>
    <xf numFmtId="0" fontId="0" fillId="11" borderId="1" xfId="0" applyFill="1" applyBorder="1"/>
    <xf numFmtId="0" fontId="0" fillId="4" borderId="1" xfId="0" applyFill="1" applyBorder="1" applyAlignment="1">
      <alignment horizontal="left"/>
    </xf>
    <xf numFmtId="0" fontId="5" fillId="0" borderId="1" xfId="0" applyFont="1" applyBorder="1" applyAlignment="1">
      <alignment vertical="top"/>
    </xf>
    <xf numFmtId="0" fontId="4" fillId="0" borderId="1" xfId="1" applyBorder="1" applyAlignment="1">
      <alignment horizontal="left"/>
    </xf>
    <xf numFmtId="0" fontId="5" fillId="3" borderId="1" xfId="0" applyFont="1" applyFill="1" applyBorder="1" applyAlignment="1">
      <alignment vertical="top"/>
    </xf>
    <xf numFmtId="0" fontId="4" fillId="0" borderId="1" xfId="1" applyBorder="1" applyAlignment="1">
      <alignment horizontal="right" vertical="top"/>
    </xf>
    <xf numFmtId="0" fontId="4" fillId="0" borderId="0" xfId="1" applyAlignment="1">
      <alignment vertical="top"/>
    </xf>
    <xf numFmtId="0" fontId="4" fillId="0" borderId="0" xfId="1" applyAlignment="1">
      <alignment horizontal="right"/>
    </xf>
    <xf numFmtId="0" fontId="0" fillId="0" borderId="0" xfId="0" applyAlignment="1">
      <alignment horizontal="right"/>
    </xf>
    <xf numFmtId="0" fontId="0" fillId="3" borderId="1" xfId="0" applyFill="1" applyBorder="1" applyAlignment="1">
      <alignment horizontal="left"/>
    </xf>
    <xf numFmtId="0" fontId="5" fillId="0" borderId="1" xfId="0" applyFont="1" applyBorder="1" applyAlignment="1">
      <alignment horizontal="center" vertical="top"/>
    </xf>
    <xf numFmtId="0" fontId="4" fillId="0" borderId="1" xfId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0" fontId="4" fillId="0" borderId="1" xfId="1" applyBorder="1" applyAlignment="1">
      <alignment horizontal="center"/>
    </xf>
    <xf numFmtId="0" fontId="7" fillId="0" borderId="1" xfId="0" applyFont="1" applyBorder="1" applyAlignment="1">
      <alignment horizontal="center" vertical="top"/>
    </xf>
    <xf numFmtId="0" fontId="4" fillId="0" borderId="1" xfId="1" applyBorder="1" applyAlignment="1">
      <alignment vertical="top"/>
    </xf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3" borderId="1" xfId="0" applyFill="1" applyBorder="1" applyAlignment="1">
      <alignment horizontal="left" vertical="center"/>
    </xf>
    <xf numFmtId="0" fontId="0" fillId="12" borderId="1" xfId="0" applyFill="1" applyBorder="1" applyAlignment="1">
      <alignment horizontal="center"/>
    </xf>
    <xf numFmtId="0" fontId="0" fillId="13" borderId="1" xfId="0" applyFill="1" applyBorder="1"/>
    <xf numFmtId="0" fontId="0" fillId="14" borderId="1" xfId="0" applyFill="1" applyBorder="1"/>
    <xf numFmtId="0" fontId="0" fillId="4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1175273</xdr:colOff>
      <xdr:row>62</xdr:row>
      <xdr:rowOff>36096</xdr:rowOff>
    </xdr:from>
    <xdr:to>
      <xdr:col>2</xdr:col>
      <xdr:colOff>2037566</xdr:colOff>
      <xdr:row>67</xdr:row>
      <xdr:rowOff>56032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023E8E-979E-33E8-34EB-3850D7733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1673" y="3621978"/>
          <a:ext cx="2479750" cy="9202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debeamer.ev.minebea.local/cb/item/3683739" TargetMode="External"/><Relationship Id="rId13" Type="http://schemas.openxmlformats.org/officeDocument/2006/relationships/hyperlink" Target="https://codebeamer.ev.minebea.local/cb/item/3991100" TargetMode="External"/><Relationship Id="rId3" Type="http://schemas.openxmlformats.org/officeDocument/2006/relationships/hyperlink" Target="https://codebeamer.ev.minebea.local/cb/item/3991021" TargetMode="External"/><Relationship Id="rId7" Type="http://schemas.openxmlformats.org/officeDocument/2006/relationships/hyperlink" Target="https://codebeamer.ev.minebea.local/cb/item/3684336" TargetMode="External"/><Relationship Id="rId12" Type="http://schemas.openxmlformats.org/officeDocument/2006/relationships/hyperlink" Target="http://srvcodebeamer.ev.minebea.local:8080/cb/item/3969911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codebeamer.ev.minebea.local/cb/item/3991001" TargetMode="External"/><Relationship Id="rId16" Type="http://schemas.openxmlformats.org/officeDocument/2006/relationships/hyperlink" Target="https://codebeamer.ev.minebea.local/cb/item/3968959" TargetMode="External"/><Relationship Id="rId1" Type="http://schemas.openxmlformats.org/officeDocument/2006/relationships/hyperlink" Target="https://codebeamer.ev.minebea.local/cb/item/3990992" TargetMode="External"/><Relationship Id="rId6" Type="http://schemas.openxmlformats.org/officeDocument/2006/relationships/hyperlink" Target="https://codebeamer.ev.minebea.local/cb/item/3990523" TargetMode="External"/><Relationship Id="rId11" Type="http://schemas.openxmlformats.org/officeDocument/2006/relationships/hyperlink" Target="https://codebeamer.ev.minebea.local/cb/item/3968959" TargetMode="External"/><Relationship Id="rId5" Type="http://schemas.openxmlformats.org/officeDocument/2006/relationships/hyperlink" Target="https://codebeamer.ev.minebea.local/cb/item/3991103" TargetMode="External"/><Relationship Id="rId15" Type="http://schemas.openxmlformats.org/officeDocument/2006/relationships/hyperlink" Target="https://codebeamer.ev.minebea.local/cb/item/3990999" TargetMode="External"/><Relationship Id="rId10" Type="http://schemas.openxmlformats.org/officeDocument/2006/relationships/hyperlink" Target="http://srvcodebeamer.ev.minebea.local:8080/cb/item/3969911" TargetMode="External"/><Relationship Id="rId4" Type="http://schemas.openxmlformats.org/officeDocument/2006/relationships/hyperlink" Target="https://codebeamer.ev.minebea.local/cb/item/3991103" TargetMode="External"/><Relationship Id="rId9" Type="http://schemas.openxmlformats.org/officeDocument/2006/relationships/hyperlink" Target="http://srvcodebeamer.ev.minebea.local:8080/cb/item/3968865" TargetMode="External"/><Relationship Id="rId14" Type="http://schemas.openxmlformats.org/officeDocument/2006/relationships/hyperlink" Target="https://codebeamer.ev.minebea.local/cb/item/3968960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odebeamer.ev.minebea.local/cb/item/3991100" TargetMode="External"/><Relationship Id="rId13" Type="http://schemas.openxmlformats.org/officeDocument/2006/relationships/hyperlink" Target="https://codebeamer.ev.minebea.local/cb/item/3968960" TargetMode="External"/><Relationship Id="rId18" Type="http://schemas.openxmlformats.org/officeDocument/2006/relationships/hyperlink" Target="http://srvcodebeamer.ev.minebea.local:8080/cb/item/3969911" TargetMode="External"/><Relationship Id="rId3" Type="http://schemas.openxmlformats.org/officeDocument/2006/relationships/hyperlink" Target="https://codebeamer.ev.minebea.local/cb/item/3990979" TargetMode="External"/><Relationship Id="rId21" Type="http://schemas.openxmlformats.org/officeDocument/2006/relationships/hyperlink" Target="http://srvcodebeamer.ev.minebea.local:8080/cb/item/3971215" TargetMode="External"/><Relationship Id="rId7" Type="http://schemas.openxmlformats.org/officeDocument/2006/relationships/hyperlink" Target="https://codebeamer.ev.minebea.local/cb/item/3991021" TargetMode="External"/><Relationship Id="rId12" Type="http://schemas.openxmlformats.org/officeDocument/2006/relationships/hyperlink" Target="https://codebeamer.ev.minebea.local/cb/item/3968959" TargetMode="External"/><Relationship Id="rId17" Type="http://schemas.openxmlformats.org/officeDocument/2006/relationships/hyperlink" Target="https://codebeamer.ev.minebea.local/cb/item/4003697" TargetMode="External"/><Relationship Id="rId2" Type="http://schemas.openxmlformats.org/officeDocument/2006/relationships/hyperlink" Target="https://codebeamer.ev.minebea.local/cb/item/3968963" TargetMode="External"/><Relationship Id="rId16" Type="http://schemas.openxmlformats.org/officeDocument/2006/relationships/hyperlink" Target="https://codebeamer.ev.minebea.local/cb/item/4003698" TargetMode="External"/><Relationship Id="rId20" Type="http://schemas.openxmlformats.org/officeDocument/2006/relationships/hyperlink" Target="http://srvcodebeamer.ev.minebea.local:8080/cb/item/3969912" TargetMode="External"/><Relationship Id="rId1" Type="http://schemas.openxmlformats.org/officeDocument/2006/relationships/hyperlink" Target="https://codebeamer.ev.minebea.local/cb/item/3683739" TargetMode="External"/><Relationship Id="rId6" Type="http://schemas.openxmlformats.org/officeDocument/2006/relationships/hyperlink" Target="https://codebeamer.ev.minebea.local/cb/item/3991001" TargetMode="External"/><Relationship Id="rId11" Type="http://schemas.openxmlformats.org/officeDocument/2006/relationships/hyperlink" Target="https://codebeamer.ev.minebea.local/cb/item/3968960" TargetMode="External"/><Relationship Id="rId5" Type="http://schemas.openxmlformats.org/officeDocument/2006/relationships/hyperlink" Target="https://codebeamer.ev.minebea.local/cb/item/3990999" TargetMode="External"/><Relationship Id="rId15" Type="http://schemas.openxmlformats.org/officeDocument/2006/relationships/hyperlink" Target="https://codebeamer.ev.minebea.local/cb/item/3990523" TargetMode="External"/><Relationship Id="rId23" Type="http://schemas.openxmlformats.org/officeDocument/2006/relationships/drawing" Target="../drawings/drawing1.xml"/><Relationship Id="rId10" Type="http://schemas.openxmlformats.org/officeDocument/2006/relationships/hyperlink" Target="https://codebeamer.ev.minebea.local/cb/item/3991103" TargetMode="External"/><Relationship Id="rId19" Type="http://schemas.openxmlformats.org/officeDocument/2006/relationships/hyperlink" Target="3968865" TargetMode="External"/><Relationship Id="rId4" Type="http://schemas.openxmlformats.org/officeDocument/2006/relationships/hyperlink" Target="https://codebeamer.ev.minebea.local/cb/item/3990992" TargetMode="External"/><Relationship Id="rId9" Type="http://schemas.openxmlformats.org/officeDocument/2006/relationships/hyperlink" Target="https://codebeamer.ev.minebea.local/cb/item/3991103" TargetMode="External"/><Relationship Id="rId14" Type="http://schemas.openxmlformats.org/officeDocument/2006/relationships/hyperlink" Target="https://codebeamer.ev.minebea.local/cb/item/3684336" TargetMode="External"/><Relationship Id="rId22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40"/>
  <sheetViews>
    <sheetView tabSelected="1" zoomScale="70" zoomScaleNormal="70" workbookViewId="0">
      <pane ySplit="7" topLeftCell="A8" activePane="bottomLeft" state="frozen"/>
      <selection pane="bottomLeft" activeCell="B30" sqref="B30"/>
    </sheetView>
  </sheetViews>
  <sheetFormatPr defaultColWidth="8.88671875" defaultRowHeight="14.4" x14ac:dyDescent="0.3"/>
  <cols>
    <col min="1" max="1" width="24.44140625" style="5" customWidth="1"/>
    <col min="2" max="2" width="25" style="5" bestFit="1" customWidth="1"/>
    <col min="3" max="3" width="31.77734375" style="5" customWidth="1"/>
    <col min="4" max="4" width="13.21875" style="5" customWidth="1"/>
    <col min="5" max="5" width="12.88671875" style="5" customWidth="1"/>
    <col min="6" max="6" width="11.88671875" style="6" customWidth="1"/>
    <col min="7" max="7" width="10.5546875" style="6" customWidth="1"/>
    <col min="8" max="8" width="14.88671875" style="6" customWidth="1"/>
    <col min="9" max="10" width="14.88671875" style="48" customWidth="1"/>
    <col min="11" max="11" width="22.21875" style="48" bestFit="1" customWidth="1"/>
    <col min="12" max="12" width="15.21875" style="5" customWidth="1"/>
    <col min="13" max="13" width="14.77734375" style="5" bestFit="1" customWidth="1"/>
    <col min="14" max="14" width="28" style="5" customWidth="1"/>
    <col min="15" max="15" width="29.6640625" style="5" bestFit="1" customWidth="1"/>
    <col min="16" max="16" width="24.109375" style="5" bestFit="1" customWidth="1"/>
    <col min="17" max="17" width="14.44140625" style="5" bestFit="1" customWidth="1"/>
    <col min="18" max="18" width="40.5546875" style="5" bestFit="1" customWidth="1"/>
    <col min="19" max="16384" width="8.88671875" style="5"/>
  </cols>
  <sheetData>
    <row r="3" spans="1:17" x14ac:dyDescent="0.3">
      <c r="G3" s="19"/>
    </row>
    <row r="4" spans="1:17" x14ac:dyDescent="0.3">
      <c r="G4" s="19"/>
      <c r="J4" s="51"/>
      <c r="K4" s="6" t="s">
        <v>220</v>
      </c>
    </row>
    <row r="6" spans="1:17" x14ac:dyDescent="0.3">
      <c r="A6" s="5" t="s">
        <v>135</v>
      </c>
      <c r="J6" s="54" t="s">
        <v>156</v>
      </c>
      <c r="K6" s="54"/>
      <c r="L6" s="54" t="s">
        <v>157</v>
      </c>
      <c r="M6" s="54"/>
    </row>
    <row r="7" spans="1:17" x14ac:dyDescent="0.3">
      <c r="A7" s="9" t="s">
        <v>0</v>
      </c>
      <c r="B7" s="9" t="s">
        <v>3</v>
      </c>
      <c r="C7" s="9" t="s">
        <v>38</v>
      </c>
      <c r="D7" s="9" t="s">
        <v>40</v>
      </c>
      <c r="E7" s="9" t="s">
        <v>39</v>
      </c>
      <c r="F7" s="10" t="s">
        <v>13</v>
      </c>
      <c r="G7" s="10" t="s">
        <v>12</v>
      </c>
      <c r="H7" s="10" t="s">
        <v>150</v>
      </c>
      <c r="I7" s="32" t="s">
        <v>133</v>
      </c>
      <c r="J7" s="9" t="s">
        <v>158</v>
      </c>
      <c r="K7" s="9" t="s">
        <v>159</v>
      </c>
      <c r="L7" s="9" t="s">
        <v>158</v>
      </c>
      <c r="M7" s="9" t="s">
        <v>159</v>
      </c>
      <c r="N7" s="9" t="s">
        <v>211</v>
      </c>
      <c r="O7" s="9" t="s">
        <v>160</v>
      </c>
    </row>
    <row r="8" spans="1:17" s="7" customFormat="1" x14ac:dyDescent="0.3">
      <c r="A8" s="52" t="s">
        <v>7</v>
      </c>
      <c r="B8" s="7" t="s">
        <v>4</v>
      </c>
      <c r="F8" s="11" t="s">
        <v>16</v>
      </c>
      <c r="G8" s="12"/>
      <c r="H8" s="19"/>
      <c r="I8" s="40"/>
      <c r="J8" s="40"/>
      <c r="K8" s="40"/>
      <c r="N8" s="7" t="s">
        <v>190</v>
      </c>
    </row>
    <row r="9" spans="1:17" x14ac:dyDescent="0.3">
      <c r="A9" s="52" t="s">
        <v>136</v>
      </c>
      <c r="B9" s="7" t="s">
        <v>27</v>
      </c>
      <c r="C9" s="5" t="s">
        <v>26</v>
      </c>
      <c r="D9" s="5" t="s">
        <v>41</v>
      </c>
      <c r="E9" s="5" t="s">
        <v>43</v>
      </c>
      <c r="F9" s="11" t="s">
        <v>16</v>
      </c>
      <c r="G9" s="12"/>
      <c r="H9" s="41">
        <v>3683739</v>
      </c>
      <c r="I9" s="33"/>
      <c r="J9" s="5" t="s">
        <v>173</v>
      </c>
      <c r="K9" s="7" t="s">
        <v>185</v>
      </c>
      <c r="L9" s="31" t="s">
        <v>120</v>
      </c>
      <c r="M9" s="31" t="s">
        <v>121</v>
      </c>
      <c r="N9" s="7" t="s">
        <v>191</v>
      </c>
      <c r="O9" s="7"/>
      <c r="P9" s="7"/>
      <c r="Q9" s="7"/>
    </row>
    <row r="10" spans="1:17" x14ac:dyDescent="0.3">
      <c r="A10" s="52" t="s">
        <v>215</v>
      </c>
      <c r="B10" s="7" t="s">
        <v>97</v>
      </c>
      <c r="C10" s="5" t="s">
        <v>98</v>
      </c>
      <c r="D10" s="5" t="s">
        <v>41</v>
      </c>
      <c r="E10" s="5" t="s">
        <v>42</v>
      </c>
      <c r="F10" s="11" t="s">
        <v>16</v>
      </c>
      <c r="G10" s="12"/>
      <c r="H10" s="42">
        <v>3968865</v>
      </c>
      <c r="I10" s="36">
        <v>3969911</v>
      </c>
      <c r="J10" s="49" t="s">
        <v>162</v>
      </c>
      <c r="K10" s="40" t="s">
        <v>183</v>
      </c>
      <c r="L10" s="7" t="s">
        <v>151</v>
      </c>
      <c r="M10" s="5" t="s">
        <v>141</v>
      </c>
      <c r="N10" s="7" t="s">
        <v>192</v>
      </c>
      <c r="O10" s="7"/>
      <c r="P10" s="7"/>
      <c r="Q10" s="7"/>
    </row>
    <row r="11" spans="1:17" x14ac:dyDescent="0.3">
      <c r="A11" s="52" t="s">
        <v>81</v>
      </c>
      <c r="B11" s="7" t="s">
        <v>15</v>
      </c>
      <c r="C11" s="5" t="s">
        <v>82</v>
      </c>
      <c r="D11" s="5" t="s">
        <v>41</v>
      </c>
      <c r="E11" s="5" t="s">
        <v>43</v>
      </c>
      <c r="F11" s="11" t="s">
        <v>16</v>
      </c>
      <c r="G11" s="12"/>
      <c r="H11" s="41">
        <v>3991103</v>
      </c>
      <c r="I11" s="33"/>
      <c r="J11" s="5" t="s">
        <v>173</v>
      </c>
      <c r="K11" s="7" t="s">
        <v>179</v>
      </c>
      <c r="L11" s="7" t="s">
        <v>151</v>
      </c>
      <c r="M11" s="5" t="s">
        <v>144</v>
      </c>
      <c r="N11" s="7" t="s">
        <v>199</v>
      </c>
    </row>
    <row r="12" spans="1:17" x14ac:dyDescent="0.3">
      <c r="A12" s="52" t="s">
        <v>83</v>
      </c>
      <c r="B12" s="5" t="s">
        <v>89</v>
      </c>
      <c r="C12" s="5" t="s">
        <v>82</v>
      </c>
      <c r="D12" s="5" t="s">
        <v>95</v>
      </c>
      <c r="E12" s="5" t="s">
        <v>42</v>
      </c>
      <c r="F12" s="11" t="s">
        <v>16</v>
      </c>
      <c r="G12" s="12"/>
      <c r="H12" s="44"/>
      <c r="I12" s="34"/>
      <c r="J12" s="49" t="s">
        <v>162</v>
      </c>
      <c r="K12" s="7" t="s">
        <v>180</v>
      </c>
      <c r="L12" s="7" t="s">
        <v>151</v>
      </c>
      <c r="M12" s="5" t="s">
        <v>154</v>
      </c>
      <c r="N12" s="7" t="s">
        <v>195</v>
      </c>
    </row>
    <row r="13" spans="1:17" x14ac:dyDescent="0.3">
      <c r="A13" s="52" t="s">
        <v>84</v>
      </c>
      <c r="B13" s="5" t="s">
        <v>90</v>
      </c>
      <c r="C13" s="5" t="s">
        <v>82</v>
      </c>
      <c r="D13" s="5" t="s">
        <v>119</v>
      </c>
      <c r="E13" s="5" t="s">
        <v>116</v>
      </c>
      <c r="F13" s="11" t="s">
        <v>16</v>
      </c>
      <c r="G13" s="12"/>
      <c r="H13" s="44"/>
      <c r="I13" s="34"/>
      <c r="J13" s="5" t="s">
        <v>166</v>
      </c>
      <c r="K13" s="5" t="s">
        <v>167</v>
      </c>
      <c r="N13" s="7" t="s">
        <v>196</v>
      </c>
    </row>
    <row r="14" spans="1:17" x14ac:dyDescent="0.3">
      <c r="A14" s="52" t="s">
        <v>85</v>
      </c>
      <c r="B14" s="5" t="s">
        <v>91</v>
      </c>
      <c r="C14" s="5" t="s">
        <v>82</v>
      </c>
      <c r="D14" s="5" t="s">
        <v>119</v>
      </c>
      <c r="E14" s="5" t="s">
        <v>116</v>
      </c>
      <c r="F14" s="11" t="s">
        <v>16</v>
      </c>
      <c r="G14" s="12"/>
      <c r="H14" s="44"/>
      <c r="I14" s="34"/>
      <c r="J14" s="5" t="s">
        <v>166</v>
      </c>
      <c r="K14" s="5" t="s">
        <v>168</v>
      </c>
      <c r="N14" s="7" t="s">
        <v>197</v>
      </c>
    </row>
    <row r="15" spans="1:17" x14ac:dyDescent="0.3">
      <c r="A15" s="52" t="s">
        <v>86</v>
      </c>
      <c r="B15" s="5" t="s">
        <v>92</v>
      </c>
      <c r="C15" s="5" t="s">
        <v>82</v>
      </c>
      <c r="D15" s="5" t="s">
        <v>41</v>
      </c>
      <c r="E15" s="5" t="s">
        <v>42</v>
      </c>
      <c r="F15" s="11" t="s">
        <v>16</v>
      </c>
      <c r="G15" s="12"/>
      <c r="H15" s="44"/>
      <c r="I15" s="34"/>
      <c r="J15" s="5" t="s">
        <v>166</v>
      </c>
      <c r="K15" s="5" t="s">
        <v>169</v>
      </c>
      <c r="N15" s="7" t="s">
        <v>198</v>
      </c>
    </row>
    <row r="16" spans="1:17" x14ac:dyDescent="0.3">
      <c r="A16" s="52" t="s">
        <v>87</v>
      </c>
      <c r="B16" s="5" t="s">
        <v>93</v>
      </c>
      <c r="C16" s="5" t="s">
        <v>82</v>
      </c>
      <c r="D16" s="5" t="s">
        <v>41</v>
      </c>
      <c r="E16" s="5" t="s">
        <v>42</v>
      </c>
      <c r="F16" s="11" t="s">
        <v>16</v>
      </c>
      <c r="G16" s="12"/>
      <c r="H16" s="44"/>
      <c r="I16" s="34"/>
      <c r="J16" s="5" t="s">
        <v>166</v>
      </c>
      <c r="K16" s="5" t="s">
        <v>170</v>
      </c>
      <c r="N16" s="7" t="s">
        <v>200</v>
      </c>
    </row>
    <row r="17" spans="1:17" x14ac:dyDescent="0.3">
      <c r="A17" s="52" t="s">
        <v>88</v>
      </c>
      <c r="B17" s="7" t="s">
        <v>94</v>
      </c>
      <c r="C17" s="5" t="s">
        <v>82</v>
      </c>
      <c r="D17" s="5" t="s">
        <v>41</v>
      </c>
      <c r="E17" s="5" t="s">
        <v>42</v>
      </c>
      <c r="F17" s="11" t="s">
        <v>16</v>
      </c>
      <c r="G17" s="12"/>
      <c r="H17" s="41">
        <v>3991103</v>
      </c>
      <c r="I17" s="33"/>
      <c r="J17" s="49" t="s">
        <v>162</v>
      </c>
      <c r="K17" s="7" t="s">
        <v>178</v>
      </c>
      <c r="L17" s="7" t="s">
        <v>151</v>
      </c>
      <c r="M17" s="5" t="s">
        <v>155</v>
      </c>
      <c r="N17" s="7" t="s">
        <v>201</v>
      </c>
    </row>
    <row r="18" spans="1:17" x14ac:dyDescent="0.3">
      <c r="A18" s="52" t="s">
        <v>232</v>
      </c>
      <c r="B18" s="5" t="s">
        <v>233</v>
      </c>
      <c r="C18" s="5" t="s">
        <v>236</v>
      </c>
      <c r="D18" s="5" t="s">
        <v>41</v>
      </c>
      <c r="E18" s="7" t="s">
        <v>43</v>
      </c>
      <c r="F18" s="11" t="s">
        <v>16</v>
      </c>
      <c r="G18" s="12"/>
      <c r="J18" s="21" t="s">
        <v>224</v>
      </c>
      <c r="K18" s="21"/>
      <c r="L18" s="21"/>
      <c r="M18" s="21"/>
      <c r="N18" s="5" t="s">
        <v>226</v>
      </c>
    </row>
    <row r="19" spans="1:17" x14ac:dyDescent="0.3">
      <c r="A19" s="52" t="s">
        <v>235</v>
      </c>
      <c r="B19" s="5" t="s">
        <v>234</v>
      </c>
      <c r="C19" s="5" t="s">
        <v>236</v>
      </c>
      <c r="D19" s="5" t="s">
        <v>41</v>
      </c>
      <c r="E19" s="7" t="s">
        <v>43</v>
      </c>
      <c r="F19" s="11" t="s">
        <v>16</v>
      </c>
      <c r="G19" s="12"/>
      <c r="J19" s="21" t="s">
        <v>224</v>
      </c>
      <c r="K19" s="21"/>
      <c r="L19" s="21"/>
      <c r="M19" s="21"/>
      <c r="N19" s="5" t="s">
        <v>227</v>
      </c>
    </row>
    <row r="20" spans="1:17" x14ac:dyDescent="0.3">
      <c r="A20" s="52" t="s">
        <v>188</v>
      </c>
      <c r="B20" s="5" t="s">
        <v>219</v>
      </c>
      <c r="C20" s="5" t="s">
        <v>49</v>
      </c>
      <c r="D20" s="5" t="s">
        <v>41</v>
      </c>
      <c r="E20" s="5" t="s">
        <v>42</v>
      </c>
      <c r="F20" s="11" t="s">
        <v>16</v>
      </c>
      <c r="G20" s="12"/>
      <c r="H20" s="43"/>
      <c r="I20" s="35"/>
      <c r="J20" s="49" t="s">
        <v>162</v>
      </c>
      <c r="K20" s="7" t="s">
        <v>213</v>
      </c>
      <c r="L20" s="7"/>
      <c r="M20" s="7"/>
      <c r="N20" s="5" t="s">
        <v>193</v>
      </c>
      <c r="O20" s="7"/>
    </row>
    <row r="21" spans="1:17" x14ac:dyDescent="0.3">
      <c r="A21" s="52" t="s">
        <v>137</v>
      </c>
      <c r="B21" s="7" t="s">
        <v>55</v>
      </c>
      <c r="C21" s="7" t="s">
        <v>49</v>
      </c>
      <c r="D21" s="7" t="s">
        <v>41</v>
      </c>
      <c r="E21" s="7" t="s">
        <v>42</v>
      </c>
      <c r="F21" s="11" t="s">
        <v>16</v>
      </c>
      <c r="G21" s="12"/>
      <c r="H21" s="43">
        <v>3990992</v>
      </c>
      <c r="I21" s="35"/>
      <c r="J21" s="49" t="s">
        <v>162</v>
      </c>
      <c r="K21" s="40" t="s">
        <v>172</v>
      </c>
      <c r="L21" s="7" t="s">
        <v>151</v>
      </c>
      <c r="M21" s="5" t="s">
        <v>145</v>
      </c>
      <c r="N21" s="5" t="s">
        <v>194</v>
      </c>
    </row>
    <row r="22" spans="1:17" x14ac:dyDescent="0.3">
      <c r="A22" s="52" t="s">
        <v>222</v>
      </c>
      <c r="B22" s="5" t="s">
        <v>77</v>
      </c>
      <c r="C22" s="5" t="s">
        <v>78</v>
      </c>
      <c r="D22" s="5" t="s">
        <v>44</v>
      </c>
      <c r="E22" s="5" t="s">
        <v>43</v>
      </c>
      <c r="F22" s="11" t="s">
        <v>16</v>
      </c>
      <c r="G22" s="12"/>
      <c r="J22" s="5" t="s">
        <v>173</v>
      </c>
      <c r="K22" s="7" t="s">
        <v>177</v>
      </c>
      <c r="L22" s="7" t="s">
        <v>151</v>
      </c>
      <c r="M22" s="5" t="s">
        <v>148</v>
      </c>
      <c r="N22" s="5" t="s">
        <v>228</v>
      </c>
    </row>
    <row r="23" spans="1:17" x14ac:dyDescent="0.3">
      <c r="A23" s="52" t="s">
        <v>223</v>
      </c>
      <c r="B23" s="7" t="s">
        <v>80</v>
      </c>
      <c r="C23" s="5" t="s">
        <v>78</v>
      </c>
      <c r="D23" s="5" t="s">
        <v>41</v>
      </c>
      <c r="E23" s="5" t="s">
        <v>42</v>
      </c>
      <c r="F23" s="11" t="s">
        <v>16</v>
      </c>
      <c r="G23" s="12"/>
      <c r="J23" s="49" t="s">
        <v>162</v>
      </c>
      <c r="K23" s="50" t="s">
        <v>214</v>
      </c>
      <c r="L23" s="7" t="s">
        <v>151</v>
      </c>
      <c r="M23" s="5" t="s">
        <v>149</v>
      </c>
      <c r="N23" s="5" t="s">
        <v>229</v>
      </c>
    </row>
    <row r="24" spans="1:17" x14ac:dyDescent="0.3">
      <c r="A24" s="7"/>
      <c r="B24" s="7"/>
      <c r="F24" s="11"/>
      <c r="G24" s="12"/>
      <c r="H24" s="41"/>
      <c r="I24" s="33"/>
      <c r="J24" s="33"/>
      <c r="K24" s="33"/>
    </row>
    <row r="25" spans="1:17" x14ac:dyDescent="0.3">
      <c r="A25" s="53" t="s">
        <v>217</v>
      </c>
      <c r="B25" s="7" t="s">
        <v>4</v>
      </c>
      <c r="F25" s="11"/>
      <c r="G25" s="12" t="s">
        <v>16</v>
      </c>
      <c r="H25" s="41"/>
      <c r="I25" s="33"/>
      <c r="J25" s="33"/>
      <c r="K25" s="33"/>
      <c r="M25" s="7"/>
      <c r="N25" s="5" t="s">
        <v>202</v>
      </c>
    </row>
    <row r="26" spans="1:17" x14ac:dyDescent="0.3">
      <c r="A26" s="53" t="s">
        <v>9</v>
      </c>
      <c r="B26" s="5" t="s">
        <v>218</v>
      </c>
      <c r="C26" s="5" t="s">
        <v>49</v>
      </c>
      <c r="D26" s="5" t="s">
        <v>41</v>
      </c>
      <c r="E26" s="5" t="s">
        <v>42</v>
      </c>
      <c r="F26" s="11"/>
      <c r="G26" s="12" t="s">
        <v>16</v>
      </c>
      <c r="H26" s="43"/>
      <c r="I26" s="35"/>
      <c r="J26" s="49" t="s">
        <v>162</v>
      </c>
      <c r="K26" s="7" t="s">
        <v>213</v>
      </c>
      <c r="L26" s="7"/>
      <c r="M26" s="7"/>
      <c r="N26" s="5" t="s">
        <v>203</v>
      </c>
      <c r="O26" s="7"/>
    </row>
    <row r="27" spans="1:17" x14ac:dyDescent="0.3">
      <c r="A27" s="53" t="s">
        <v>189</v>
      </c>
      <c r="B27" s="7" t="s">
        <v>54</v>
      </c>
      <c r="C27" s="7" t="s">
        <v>49</v>
      </c>
      <c r="D27" s="7" t="s">
        <v>41</v>
      </c>
      <c r="E27" s="7" t="s">
        <v>42</v>
      </c>
      <c r="F27" s="11"/>
      <c r="G27" s="12" t="s">
        <v>16</v>
      </c>
      <c r="H27" s="43">
        <v>3990999</v>
      </c>
      <c r="I27" s="35"/>
      <c r="J27" s="49" t="s">
        <v>162</v>
      </c>
      <c r="K27" s="40" t="s">
        <v>171</v>
      </c>
      <c r="L27" s="7" t="s">
        <v>151</v>
      </c>
      <c r="M27" s="7" t="s">
        <v>139</v>
      </c>
      <c r="N27" s="5" t="s">
        <v>204</v>
      </c>
    </row>
    <row r="28" spans="1:17" x14ac:dyDescent="0.3">
      <c r="A28" s="53" t="s">
        <v>10</v>
      </c>
      <c r="B28" s="7" t="s">
        <v>56</v>
      </c>
      <c r="C28" s="7" t="s">
        <v>49</v>
      </c>
      <c r="D28" s="7" t="s">
        <v>44</v>
      </c>
      <c r="E28" s="7" t="s">
        <v>43</v>
      </c>
      <c r="F28" s="11"/>
      <c r="G28" s="12" t="s">
        <v>16</v>
      </c>
      <c r="H28" s="43">
        <v>3990523</v>
      </c>
      <c r="I28" s="35"/>
      <c r="J28" s="5" t="s">
        <v>173</v>
      </c>
      <c r="K28" s="7" t="s">
        <v>174</v>
      </c>
      <c r="L28" s="7" t="s">
        <v>151</v>
      </c>
      <c r="M28" s="7" t="s">
        <v>143</v>
      </c>
      <c r="N28" s="5" t="s">
        <v>206</v>
      </c>
      <c r="O28" s="7" t="s">
        <v>161</v>
      </c>
    </row>
    <row r="29" spans="1:17" x14ac:dyDescent="0.3">
      <c r="A29" s="53" t="s">
        <v>100</v>
      </c>
      <c r="B29" s="7" t="s">
        <v>99</v>
      </c>
      <c r="C29" s="5" t="s">
        <v>101</v>
      </c>
      <c r="D29" s="5" t="s">
        <v>41</v>
      </c>
      <c r="E29" s="5" t="s">
        <v>42</v>
      </c>
      <c r="F29" s="11"/>
      <c r="G29" s="12" t="s">
        <v>16</v>
      </c>
      <c r="H29" s="41">
        <v>3991100</v>
      </c>
      <c r="I29" s="46">
        <v>3969911</v>
      </c>
      <c r="J29" s="49" t="s">
        <v>162</v>
      </c>
      <c r="K29" s="50" t="s">
        <v>175</v>
      </c>
      <c r="L29" s="7" t="s">
        <v>151</v>
      </c>
      <c r="M29" s="5" t="s">
        <v>146</v>
      </c>
      <c r="N29" s="5" t="s">
        <v>207</v>
      </c>
      <c r="O29" s="47"/>
      <c r="P29" s="47"/>
      <c r="Q29" s="47"/>
    </row>
    <row r="30" spans="1:17" x14ac:dyDescent="0.3">
      <c r="A30" s="53" t="s">
        <v>74</v>
      </c>
      <c r="B30" s="5" t="s">
        <v>71</v>
      </c>
      <c r="C30" s="5" t="s">
        <v>69</v>
      </c>
      <c r="D30" s="5" t="s">
        <v>44</v>
      </c>
      <c r="E30" s="5" t="s">
        <v>43</v>
      </c>
      <c r="F30" s="11"/>
      <c r="G30" s="12" t="s">
        <v>16</v>
      </c>
      <c r="H30" s="41">
        <v>3968959</v>
      </c>
      <c r="I30" s="33"/>
      <c r="J30" s="5" t="s">
        <v>173</v>
      </c>
      <c r="K30" s="7" t="s">
        <v>176</v>
      </c>
      <c r="L30" s="7" t="s">
        <v>151</v>
      </c>
      <c r="M30" s="5" t="s">
        <v>147</v>
      </c>
      <c r="N30" s="5" t="s">
        <v>208</v>
      </c>
    </row>
    <row r="31" spans="1:17" x14ac:dyDescent="0.3">
      <c r="A31" s="53" t="s">
        <v>221</v>
      </c>
      <c r="B31" s="5" t="s">
        <v>68</v>
      </c>
      <c r="C31" s="5" t="s">
        <v>69</v>
      </c>
      <c r="D31" s="5" t="s">
        <v>44</v>
      </c>
      <c r="E31" s="5" t="s">
        <v>43</v>
      </c>
      <c r="F31" s="11"/>
      <c r="G31" s="12" t="s">
        <v>16</v>
      </c>
      <c r="H31" s="41">
        <v>3968959</v>
      </c>
      <c r="I31" s="33"/>
      <c r="J31" s="21" t="s">
        <v>224</v>
      </c>
      <c r="K31" s="21"/>
      <c r="L31" s="21"/>
      <c r="M31" s="21"/>
      <c r="N31" s="5" t="s">
        <v>225</v>
      </c>
    </row>
    <row r="32" spans="1:17" x14ac:dyDescent="0.3">
      <c r="A32" s="53" t="s">
        <v>32</v>
      </c>
      <c r="B32" s="7" t="s">
        <v>8</v>
      </c>
      <c r="C32" s="5" t="s">
        <v>37</v>
      </c>
      <c r="D32" s="5" t="s">
        <v>41</v>
      </c>
      <c r="E32" s="5" t="s">
        <v>43</v>
      </c>
      <c r="F32" s="11"/>
      <c r="G32" s="12" t="s">
        <v>16</v>
      </c>
      <c r="H32" s="41">
        <v>3684336</v>
      </c>
      <c r="I32" s="33"/>
      <c r="J32" s="5" t="s">
        <v>173</v>
      </c>
      <c r="K32" s="7" t="s">
        <v>184</v>
      </c>
      <c r="L32" s="7" t="s">
        <v>151</v>
      </c>
      <c r="M32" s="7" t="s">
        <v>138</v>
      </c>
      <c r="N32" s="5" t="s">
        <v>230</v>
      </c>
      <c r="O32" s="7"/>
      <c r="P32" s="7"/>
      <c r="Q32" s="7"/>
    </row>
    <row r="33" spans="1:17" x14ac:dyDescent="0.3">
      <c r="A33" s="53" t="s">
        <v>186</v>
      </c>
      <c r="B33" s="7" t="s">
        <v>29</v>
      </c>
      <c r="C33" s="5" t="s">
        <v>187</v>
      </c>
      <c r="D33" s="5" t="s">
        <v>41</v>
      </c>
      <c r="E33" s="5" t="s">
        <v>43</v>
      </c>
      <c r="F33" s="11"/>
      <c r="G33" s="12" t="s">
        <v>16</v>
      </c>
      <c r="H33" s="41"/>
      <c r="I33" s="33"/>
      <c r="J33" s="5" t="s">
        <v>173</v>
      </c>
      <c r="K33" s="7" t="s">
        <v>212</v>
      </c>
      <c r="L33" s="31"/>
      <c r="M33" s="31"/>
      <c r="N33" s="7" t="s">
        <v>210</v>
      </c>
      <c r="O33" s="7"/>
      <c r="P33" s="7"/>
      <c r="Q33" s="7"/>
    </row>
    <row r="34" spans="1:17" x14ac:dyDescent="0.3">
      <c r="A34" s="53" t="s">
        <v>33</v>
      </c>
      <c r="B34" s="7" t="s">
        <v>35</v>
      </c>
      <c r="C34" s="5" t="s">
        <v>37</v>
      </c>
      <c r="D34" s="5" t="s">
        <v>41</v>
      </c>
      <c r="E34" s="5" t="s">
        <v>42</v>
      </c>
      <c r="F34" s="11"/>
      <c r="G34" s="12" t="s">
        <v>16</v>
      </c>
      <c r="H34" s="41">
        <v>3991001</v>
      </c>
      <c r="I34" s="33"/>
      <c r="J34" s="49" t="s">
        <v>162</v>
      </c>
      <c r="K34" s="40" t="s">
        <v>182</v>
      </c>
      <c r="L34" s="7" t="s">
        <v>151</v>
      </c>
      <c r="M34" s="5" t="s">
        <v>140</v>
      </c>
      <c r="N34" s="7" t="s">
        <v>205</v>
      </c>
    </row>
    <row r="35" spans="1:17" x14ac:dyDescent="0.3">
      <c r="A35" s="53" t="s">
        <v>237</v>
      </c>
      <c r="B35" s="5" t="s">
        <v>36</v>
      </c>
      <c r="F35" s="11"/>
      <c r="G35" s="12" t="s">
        <v>16</v>
      </c>
      <c r="N35" s="5" t="s">
        <v>209</v>
      </c>
    </row>
    <row r="36" spans="1:17" s="7" customFormat="1" x14ac:dyDescent="0.3">
      <c r="A36" s="53" t="s">
        <v>216</v>
      </c>
      <c r="B36" s="7" t="s">
        <v>66</v>
      </c>
      <c r="C36" s="7" t="s">
        <v>64</v>
      </c>
      <c r="D36" s="30" t="s">
        <v>41</v>
      </c>
      <c r="E36" s="7" t="s">
        <v>42</v>
      </c>
      <c r="F36" s="11"/>
      <c r="G36" s="12" t="s">
        <v>16</v>
      </c>
      <c r="H36" s="43">
        <v>3991021</v>
      </c>
      <c r="I36" s="35"/>
      <c r="J36" s="49" t="s">
        <v>162</v>
      </c>
      <c r="K36" s="50" t="s">
        <v>181</v>
      </c>
      <c r="L36" s="7" t="s">
        <v>151</v>
      </c>
      <c r="M36" s="7" t="s">
        <v>153</v>
      </c>
      <c r="N36" s="7" t="s">
        <v>231</v>
      </c>
    </row>
    <row r="38" spans="1:17" x14ac:dyDescent="0.3">
      <c r="A38" s="7" t="s">
        <v>58</v>
      </c>
      <c r="B38" s="5" t="s">
        <v>60</v>
      </c>
      <c r="C38" s="5" t="s">
        <v>22</v>
      </c>
      <c r="D38" s="5" t="s">
        <v>41</v>
      </c>
      <c r="E38" s="5" t="s">
        <v>114</v>
      </c>
      <c r="F38" s="5"/>
      <c r="G38" s="5"/>
      <c r="I38" s="5"/>
      <c r="J38" s="49" t="s">
        <v>162</v>
      </c>
      <c r="K38" s="50" t="s">
        <v>163</v>
      </c>
      <c r="L38" s="7" t="s">
        <v>151</v>
      </c>
      <c r="M38" s="5" t="s">
        <v>142</v>
      </c>
    </row>
    <row r="39" spans="1:17" x14ac:dyDescent="0.3">
      <c r="A39" s="7" t="s">
        <v>59</v>
      </c>
      <c r="B39" s="5" t="s">
        <v>61</v>
      </c>
      <c r="C39" s="5" t="s">
        <v>22</v>
      </c>
      <c r="D39" s="5" t="s">
        <v>41</v>
      </c>
      <c r="E39" s="5" t="s">
        <v>114</v>
      </c>
      <c r="F39" s="5"/>
      <c r="G39" s="5"/>
      <c r="I39" s="5"/>
      <c r="J39" s="49" t="s">
        <v>162</v>
      </c>
      <c r="K39" s="50" t="s">
        <v>164</v>
      </c>
      <c r="L39" s="7" t="s">
        <v>151</v>
      </c>
      <c r="M39" s="5" t="s">
        <v>152</v>
      </c>
    </row>
    <row r="40" spans="1:17" x14ac:dyDescent="0.3">
      <c r="A40" s="5" t="s">
        <v>72</v>
      </c>
      <c r="B40" s="5" t="s">
        <v>73</v>
      </c>
      <c r="C40" s="5" t="s">
        <v>22</v>
      </c>
      <c r="D40" s="5" t="s">
        <v>41</v>
      </c>
      <c r="E40" s="5" t="s">
        <v>42</v>
      </c>
      <c r="F40" s="5"/>
      <c r="H40" s="45">
        <v>3968960</v>
      </c>
      <c r="J40" s="49" t="s">
        <v>162</v>
      </c>
      <c r="K40" s="50" t="s">
        <v>165</v>
      </c>
      <c r="L40" s="7" t="s">
        <v>151</v>
      </c>
      <c r="M40" s="5" t="s">
        <v>147</v>
      </c>
    </row>
  </sheetData>
  <mergeCells count="2">
    <mergeCell ref="J6:K6"/>
    <mergeCell ref="L6:M6"/>
  </mergeCells>
  <phoneticPr fontId="3" type="noConversion"/>
  <dataValidations disablePrompts="1" count="1">
    <dataValidation type="whole" allowBlank="1" showErrorMessage="1" sqref="H40 J24:K25 H17:I17 H20:I21 H11:I11 H24:I36 H9:I9" xr:uid="{00000000-0002-0000-0000-000000000000}">
      <formula1>-2147483648</formula1>
      <formula2>2147483647</formula2>
    </dataValidation>
  </dataValidations>
  <hyperlinks>
    <hyperlink ref="H21" r:id="rId1" display="https://codebeamer.ev.minebea.local/cb/item/3990992" xr:uid="{00000000-0004-0000-0000-000000000000}"/>
    <hyperlink ref="H34" r:id="rId2" display="https://codebeamer.ev.minebea.local/cb/item/3991001" xr:uid="{00000000-0004-0000-0000-000001000000}"/>
    <hyperlink ref="H36" r:id="rId3" display="https://codebeamer.ev.minebea.local/cb/item/3991021" xr:uid="{00000000-0004-0000-0000-000002000000}"/>
    <hyperlink ref="H11" r:id="rId4" display="https://codebeamer.ev.minebea.local/cb/item/3991103" xr:uid="{00000000-0004-0000-0000-000003000000}"/>
    <hyperlink ref="H17" r:id="rId5" display="https://codebeamer.ev.minebea.local/cb/item/3991103" xr:uid="{00000000-0004-0000-0000-000004000000}"/>
    <hyperlink ref="H28" r:id="rId6" display="https://codebeamer.ev.minebea.local/cb/item/3990523" xr:uid="{00000000-0004-0000-0000-000005000000}"/>
    <hyperlink ref="H32" r:id="rId7" display="https://codebeamer.ev.minebea.local/cb/item/3684336" xr:uid="{00000000-0004-0000-0000-000006000000}"/>
    <hyperlink ref="H9" r:id="rId8" display="https://codebeamer.ev.minebea.local/cb/item/3683739" xr:uid="{00000000-0004-0000-0000-000007000000}"/>
    <hyperlink ref="H10" r:id="rId9" display="3968865" xr:uid="{00000000-0004-0000-0000-000008000000}"/>
    <hyperlink ref="I10" r:id="rId10" display="3969911" xr:uid="{00000000-0004-0000-0000-000009000000}"/>
    <hyperlink ref="H30" r:id="rId11" display="https://codebeamer.ev.minebea.local/cb/item/3968959" xr:uid="{00000000-0004-0000-0000-00000A000000}"/>
    <hyperlink ref="I29" r:id="rId12" display="3969911" xr:uid="{00000000-0004-0000-0000-00000B000000}"/>
    <hyperlink ref="H29" r:id="rId13" display="https://codebeamer.ev.minebea.local/cb/item/3991100" xr:uid="{00000000-0004-0000-0000-00000C000000}"/>
    <hyperlink ref="H40" r:id="rId14" display="https://codebeamer.ev.minebea.local/cb/item/3968960" xr:uid="{00000000-0004-0000-0000-00000D000000}"/>
    <hyperlink ref="H27" r:id="rId15" display="https://codebeamer.ev.minebea.local/cb/item/3990999" xr:uid="{00000000-0004-0000-0000-00000E000000}"/>
    <hyperlink ref="H31" r:id="rId16" display="https://codebeamer.ev.minebea.local/cb/item/3968959" xr:uid="{00000000-0004-0000-0000-00000F000000}"/>
  </hyperlinks>
  <pageMargins left="0.7" right="0.7" top="0.75" bottom="0.75" header="0.3" footer="0.3"/>
  <pageSetup orientation="portrait"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A59"/>
  <sheetViews>
    <sheetView zoomScale="85" zoomScaleNormal="85" workbookViewId="0">
      <pane ySplit="7" topLeftCell="A29" activePane="bottomLeft" state="frozen"/>
      <selection pane="bottomLeft" activeCell="A38" sqref="A38:A39"/>
    </sheetView>
  </sheetViews>
  <sheetFormatPr defaultColWidth="8.88671875" defaultRowHeight="14.4" x14ac:dyDescent="0.3"/>
  <cols>
    <col min="1" max="1" width="24.44140625" style="5" customWidth="1"/>
    <col min="2" max="2" width="23.5546875" style="5" customWidth="1"/>
    <col min="3" max="3" width="31.77734375" style="5" customWidth="1"/>
    <col min="4" max="4" width="13.21875" style="5" customWidth="1"/>
    <col min="5" max="5" width="12.88671875" style="5" customWidth="1"/>
    <col min="6" max="7" width="10.5546875" style="5" customWidth="1"/>
    <col min="8" max="8" width="10.44140625" style="5" customWidth="1"/>
    <col min="9" max="9" width="10.33203125" style="5" customWidth="1"/>
    <col min="10" max="10" width="11.88671875" style="6" customWidth="1"/>
    <col min="11" max="11" width="10.5546875" style="6" customWidth="1"/>
    <col min="12" max="13" width="23.5546875" style="6" customWidth="1"/>
    <col min="14" max="14" width="13.88671875" style="5" customWidth="1"/>
    <col min="15" max="16" width="14.88671875" style="26" customWidth="1"/>
    <col min="17" max="17" width="15.5546875" customWidth="1"/>
    <col min="19" max="19" width="14.77734375" bestFit="1" customWidth="1"/>
    <col min="20" max="20" width="11.5546875" bestFit="1" customWidth="1"/>
    <col min="21" max="21" width="10.33203125" bestFit="1" customWidth="1"/>
    <col min="23" max="23" width="6.5546875" bestFit="1" customWidth="1"/>
    <col min="24" max="24" width="29.6640625" bestFit="1" customWidth="1"/>
    <col min="25" max="25" width="24.109375" bestFit="1" customWidth="1"/>
    <col min="26" max="26" width="14.44140625" bestFit="1" customWidth="1"/>
    <col min="27" max="27" width="40.5546875" bestFit="1" customWidth="1"/>
  </cols>
  <sheetData>
    <row r="2" spans="1:27" x14ac:dyDescent="0.3">
      <c r="F2" s="5" t="s">
        <v>96</v>
      </c>
    </row>
    <row r="5" spans="1:27" x14ac:dyDescent="0.3">
      <c r="A5" s="5" t="s">
        <v>23</v>
      </c>
    </row>
    <row r="6" spans="1:27" x14ac:dyDescent="0.3">
      <c r="A6" s="5" t="s">
        <v>24</v>
      </c>
      <c r="F6" s="5">
        <v>6.4279999999999999</v>
      </c>
      <c r="G6" s="5">
        <v>8.702</v>
      </c>
    </row>
    <row r="7" spans="1:27" x14ac:dyDescent="0.3">
      <c r="A7" s="9" t="s">
        <v>0</v>
      </c>
      <c r="B7" s="9" t="s">
        <v>3</v>
      </c>
      <c r="C7" s="9" t="s">
        <v>38</v>
      </c>
      <c r="D7" s="9" t="s">
        <v>40</v>
      </c>
      <c r="E7" s="9" t="s">
        <v>39</v>
      </c>
      <c r="F7" s="9"/>
      <c r="G7" s="9"/>
      <c r="H7" s="9" t="s">
        <v>1</v>
      </c>
      <c r="I7" s="9" t="s">
        <v>2</v>
      </c>
      <c r="J7" s="10" t="s">
        <v>13</v>
      </c>
      <c r="K7" s="10" t="s">
        <v>12</v>
      </c>
      <c r="L7" s="10" t="s">
        <v>127</v>
      </c>
      <c r="M7" s="10" t="s">
        <v>128</v>
      </c>
      <c r="N7" s="9" t="s">
        <v>17</v>
      </c>
      <c r="O7" s="27"/>
      <c r="P7" s="27" t="s">
        <v>134</v>
      </c>
      <c r="Q7" s="13" t="s">
        <v>109</v>
      </c>
      <c r="R7" s="13" t="s">
        <v>110</v>
      </c>
      <c r="S7" s="13" t="s">
        <v>111</v>
      </c>
      <c r="T7" s="13" t="s">
        <v>112</v>
      </c>
      <c r="U7" s="13" t="s">
        <v>113</v>
      </c>
    </row>
    <row r="8" spans="1:27" x14ac:dyDescent="0.3">
      <c r="N8" s="5" t="s">
        <v>18</v>
      </c>
    </row>
    <row r="9" spans="1:27" x14ac:dyDescent="0.3">
      <c r="A9" s="5" t="s">
        <v>5</v>
      </c>
      <c r="B9" s="5" t="s">
        <v>21</v>
      </c>
      <c r="C9" s="5" t="s">
        <v>22</v>
      </c>
      <c r="D9" s="5" t="s">
        <v>44</v>
      </c>
      <c r="E9" s="5" t="s">
        <v>43</v>
      </c>
      <c r="F9" s="15">
        <v>10</v>
      </c>
      <c r="G9" s="15">
        <v>10.7</v>
      </c>
      <c r="H9" s="16">
        <f>F9-$F$6</f>
        <v>3.5720000000000001</v>
      </c>
      <c r="I9" s="16">
        <f>G9-$G$6</f>
        <v>1.9979999999999993</v>
      </c>
      <c r="J9" s="14" t="s">
        <v>16</v>
      </c>
      <c r="K9" s="14"/>
      <c r="L9" s="14"/>
      <c r="M9" s="14"/>
      <c r="N9" s="14">
        <v>0.5</v>
      </c>
      <c r="T9" s="2"/>
      <c r="U9" s="2"/>
      <c r="V9" s="2"/>
      <c r="W9" s="2"/>
      <c r="X9" s="2"/>
      <c r="Y9" s="2"/>
      <c r="Z9" s="2"/>
      <c r="AA9" s="1"/>
    </row>
    <row r="10" spans="1:27" x14ac:dyDescent="0.3">
      <c r="A10" s="5" t="s">
        <v>19</v>
      </c>
      <c r="B10" s="5" t="s">
        <v>115</v>
      </c>
      <c r="C10" s="5" t="s">
        <v>22</v>
      </c>
      <c r="D10" s="5" t="s">
        <v>4</v>
      </c>
      <c r="E10" s="5" t="s">
        <v>116</v>
      </c>
      <c r="F10" s="15">
        <v>12.9</v>
      </c>
      <c r="G10" s="15">
        <v>10.4</v>
      </c>
      <c r="H10" s="16">
        <f t="shared" ref="H10:H17" si="0">F10-$F$6</f>
        <v>6.4720000000000004</v>
      </c>
      <c r="I10" s="16">
        <f t="shared" ref="I10:I17" si="1">G10-$G$6</f>
        <v>1.6980000000000004</v>
      </c>
      <c r="J10" s="14" t="s">
        <v>16</v>
      </c>
      <c r="K10" s="14"/>
      <c r="L10" s="14"/>
      <c r="M10" s="14"/>
      <c r="N10" s="14">
        <v>0.5</v>
      </c>
      <c r="T10" s="2"/>
      <c r="U10" s="2"/>
      <c r="V10" s="2"/>
      <c r="W10" s="2"/>
      <c r="X10" s="2"/>
      <c r="Y10" s="2"/>
      <c r="Z10" s="2"/>
    </row>
    <row r="11" spans="1:27" x14ac:dyDescent="0.3">
      <c r="B11" s="5" t="s">
        <v>60</v>
      </c>
      <c r="C11" s="5" t="s">
        <v>22</v>
      </c>
      <c r="D11" s="5" t="s">
        <v>41</v>
      </c>
      <c r="E11" s="5" t="s">
        <v>114</v>
      </c>
      <c r="F11" s="15"/>
      <c r="G11" s="15"/>
      <c r="H11" s="16"/>
      <c r="I11" s="16"/>
      <c r="J11" s="14"/>
      <c r="K11" s="14"/>
      <c r="L11" s="14"/>
      <c r="M11" s="14"/>
      <c r="N11" s="14"/>
      <c r="R11" t="s">
        <v>120</v>
      </c>
      <c r="S11" t="s">
        <v>122</v>
      </c>
      <c r="T11" s="2"/>
      <c r="U11" s="2"/>
      <c r="V11" s="2"/>
      <c r="W11" s="2"/>
      <c r="X11" s="2"/>
      <c r="Y11" s="2"/>
      <c r="Z11" s="2"/>
    </row>
    <row r="12" spans="1:27" x14ac:dyDescent="0.3">
      <c r="B12" s="5" t="s">
        <v>61</v>
      </c>
      <c r="C12" s="5" t="s">
        <v>22</v>
      </c>
      <c r="D12" s="5" t="s">
        <v>41</v>
      </c>
      <c r="E12" s="5" t="s">
        <v>114</v>
      </c>
      <c r="F12" s="15"/>
      <c r="G12" s="15"/>
      <c r="H12" s="16"/>
      <c r="I12" s="16"/>
      <c r="J12" s="14"/>
      <c r="K12" s="14"/>
      <c r="L12" s="14"/>
      <c r="M12" s="14"/>
      <c r="N12" s="14"/>
      <c r="R12" t="s">
        <v>120</v>
      </c>
      <c r="S12" t="s">
        <v>123</v>
      </c>
      <c r="T12" s="2"/>
      <c r="U12" s="2"/>
      <c r="V12" s="2"/>
      <c r="W12" s="2"/>
      <c r="X12" s="2"/>
      <c r="Y12" s="2"/>
      <c r="Z12" s="2"/>
    </row>
    <row r="13" spans="1:27" x14ac:dyDescent="0.3">
      <c r="B13" s="5" t="s">
        <v>75</v>
      </c>
      <c r="C13" s="5" t="s">
        <v>22</v>
      </c>
      <c r="D13" s="5" t="s">
        <v>4</v>
      </c>
      <c r="E13" s="5" t="s">
        <v>116</v>
      </c>
      <c r="F13" s="15"/>
      <c r="G13" s="15"/>
      <c r="H13" s="16"/>
      <c r="I13" s="16"/>
      <c r="J13" s="14"/>
      <c r="K13" s="14"/>
      <c r="L13" s="14"/>
      <c r="M13" s="14"/>
      <c r="N13" s="14"/>
      <c r="T13" s="2"/>
      <c r="U13" s="2"/>
      <c r="V13" s="2"/>
      <c r="W13" s="2"/>
      <c r="X13" s="2"/>
      <c r="Y13" s="2"/>
      <c r="Z13" s="2"/>
    </row>
    <row r="14" spans="1:27" x14ac:dyDescent="0.3">
      <c r="A14" s="5" t="s">
        <v>72</v>
      </c>
      <c r="B14" s="7" t="s">
        <v>73</v>
      </c>
      <c r="C14" s="5" t="s">
        <v>22</v>
      </c>
      <c r="D14" s="5" t="s">
        <v>41</v>
      </c>
      <c r="E14" s="5" t="s">
        <v>42</v>
      </c>
      <c r="F14" s="14">
        <v>23.4</v>
      </c>
      <c r="G14" s="14">
        <v>13.7</v>
      </c>
      <c r="H14" s="16">
        <f t="shared" ref="H14" si="2">F14-$F$6</f>
        <v>16.971999999999998</v>
      </c>
      <c r="I14" s="16">
        <f t="shared" ref="I14" si="3">G14-$G$6</f>
        <v>4.9979999999999993</v>
      </c>
      <c r="J14" s="14" t="s">
        <v>16</v>
      </c>
      <c r="K14" s="14"/>
      <c r="L14" s="14"/>
      <c r="M14" s="14"/>
      <c r="N14" s="14">
        <v>0.5</v>
      </c>
      <c r="O14" s="29">
        <v>3968960</v>
      </c>
      <c r="P14" s="29"/>
      <c r="R14" t="s">
        <v>125</v>
      </c>
      <c r="S14" t="s">
        <v>132</v>
      </c>
      <c r="T14" s="2"/>
      <c r="U14" s="2"/>
      <c r="V14" s="2"/>
      <c r="W14" s="2"/>
      <c r="X14" s="2"/>
      <c r="Y14" s="2"/>
      <c r="Z14" s="2"/>
    </row>
    <row r="15" spans="1:27" x14ac:dyDescent="0.3">
      <c r="B15" s="5" t="s">
        <v>117</v>
      </c>
      <c r="C15" s="5" t="s">
        <v>22</v>
      </c>
      <c r="D15" s="5" t="s">
        <v>119</v>
      </c>
      <c r="E15" s="5" t="s">
        <v>116</v>
      </c>
      <c r="F15" s="15"/>
      <c r="G15" s="15"/>
      <c r="H15" s="16"/>
      <c r="I15" s="16"/>
      <c r="J15" s="14"/>
      <c r="K15" s="14"/>
      <c r="L15" s="14"/>
      <c r="M15" s="14"/>
      <c r="N15" s="14"/>
      <c r="T15" s="2"/>
      <c r="U15" s="2"/>
      <c r="V15" s="2"/>
      <c r="W15" s="2"/>
      <c r="X15" s="2"/>
      <c r="Y15" s="2"/>
      <c r="Z15" s="2"/>
    </row>
    <row r="16" spans="1:27" x14ac:dyDescent="0.3">
      <c r="B16" s="5" t="s">
        <v>118</v>
      </c>
      <c r="C16" s="5" t="s">
        <v>22</v>
      </c>
      <c r="D16" s="5" t="s">
        <v>119</v>
      </c>
      <c r="E16" s="5" t="s">
        <v>116</v>
      </c>
      <c r="F16" s="15"/>
      <c r="G16" s="15"/>
      <c r="H16" s="16"/>
      <c r="I16" s="16"/>
      <c r="J16" s="14"/>
      <c r="K16" s="14"/>
      <c r="L16" s="14"/>
      <c r="M16" s="14"/>
      <c r="N16" s="14"/>
      <c r="T16" s="2"/>
      <c r="U16" s="2"/>
      <c r="V16" s="2"/>
      <c r="W16" s="2"/>
      <c r="X16" s="2"/>
      <c r="Y16" s="2"/>
      <c r="Z16" s="2"/>
    </row>
    <row r="17" spans="1:26" x14ac:dyDescent="0.3">
      <c r="A17" s="5" t="s">
        <v>6</v>
      </c>
      <c r="B17" s="5" t="s">
        <v>25</v>
      </c>
      <c r="C17" s="5" t="s">
        <v>26</v>
      </c>
      <c r="D17" s="5" t="s">
        <v>44</v>
      </c>
      <c r="E17" s="5" t="s">
        <v>43</v>
      </c>
      <c r="F17" s="6">
        <v>9.8000000000000007</v>
      </c>
      <c r="G17" s="6">
        <v>12.8</v>
      </c>
      <c r="H17" s="8">
        <f t="shared" si="0"/>
        <v>3.3720000000000008</v>
      </c>
      <c r="I17" s="8">
        <f t="shared" si="1"/>
        <v>4.0980000000000008</v>
      </c>
      <c r="J17" s="11"/>
      <c r="K17" s="12" t="s">
        <v>16</v>
      </c>
      <c r="L17" s="19"/>
      <c r="M17" s="19"/>
      <c r="N17" s="6">
        <v>0.5</v>
      </c>
      <c r="T17" s="2"/>
      <c r="U17" s="2"/>
      <c r="V17" s="2"/>
      <c r="W17" s="3"/>
      <c r="X17" s="2"/>
      <c r="Y17" s="2"/>
      <c r="Z17" s="2"/>
    </row>
    <row r="18" spans="1:26" x14ac:dyDescent="0.3">
      <c r="A18" s="7" t="s">
        <v>7</v>
      </c>
      <c r="B18" s="7" t="s">
        <v>27</v>
      </c>
      <c r="C18" s="5" t="s">
        <v>26</v>
      </c>
      <c r="D18" s="5" t="s">
        <v>41</v>
      </c>
      <c r="E18" s="5" t="s">
        <v>43</v>
      </c>
      <c r="F18" s="6">
        <v>59.8</v>
      </c>
      <c r="G18" s="6">
        <v>10.1</v>
      </c>
      <c r="H18" s="8">
        <f t="shared" ref="H18" si="4">F18-$F$6</f>
        <v>53.372</v>
      </c>
      <c r="I18" s="8">
        <f t="shared" ref="I18" si="5">G18-$G$6</f>
        <v>1.3979999999999997</v>
      </c>
      <c r="J18" s="11" t="s">
        <v>16</v>
      </c>
      <c r="K18" s="12"/>
      <c r="L18" s="19"/>
      <c r="M18" s="19"/>
      <c r="N18" s="6">
        <v>0.5</v>
      </c>
      <c r="O18" s="29">
        <v>3683739</v>
      </c>
      <c r="P18" s="29"/>
      <c r="Q18">
        <v>1</v>
      </c>
      <c r="R18" s="17"/>
      <c r="S18" s="17"/>
      <c r="T18" s="2"/>
      <c r="U18" s="2"/>
      <c r="V18" s="2"/>
      <c r="W18" s="2"/>
      <c r="X18" s="2"/>
      <c r="Y18" s="2"/>
      <c r="Z18" s="2"/>
    </row>
    <row r="19" spans="1:26" x14ac:dyDescent="0.3">
      <c r="A19" s="7" t="s">
        <v>20</v>
      </c>
      <c r="B19" s="7" t="s">
        <v>8</v>
      </c>
      <c r="C19" s="5" t="s">
        <v>26</v>
      </c>
      <c r="D19" s="5" t="s">
        <v>41</v>
      </c>
      <c r="E19" s="5" t="s">
        <v>43</v>
      </c>
      <c r="F19" s="6">
        <v>70.5</v>
      </c>
      <c r="G19" s="6">
        <v>9.6999999999999993</v>
      </c>
      <c r="H19" s="8">
        <f>F19-$F$6</f>
        <v>64.072000000000003</v>
      </c>
      <c r="I19" s="8">
        <f>G19-$G$6</f>
        <v>0.99799999999999933</v>
      </c>
      <c r="J19" s="11" t="s">
        <v>16</v>
      </c>
      <c r="K19" s="12"/>
      <c r="L19" s="19"/>
      <c r="M19" s="19"/>
      <c r="N19" s="6">
        <v>0.5</v>
      </c>
      <c r="O19" s="29">
        <v>3684336</v>
      </c>
      <c r="P19" s="29"/>
      <c r="Q19">
        <v>1</v>
      </c>
      <c r="T19" s="2"/>
      <c r="U19" s="2"/>
      <c r="V19" s="2"/>
      <c r="W19" s="2"/>
      <c r="X19" s="2"/>
      <c r="Y19" s="2"/>
      <c r="Z19" s="2"/>
    </row>
    <row r="20" spans="1:26" x14ac:dyDescent="0.3">
      <c r="A20" s="7" t="s">
        <v>100</v>
      </c>
      <c r="B20" s="7" t="s">
        <v>99</v>
      </c>
      <c r="C20" s="5" t="s">
        <v>101</v>
      </c>
      <c r="D20" s="5" t="s">
        <v>41</v>
      </c>
      <c r="E20" s="5" t="s">
        <v>42</v>
      </c>
      <c r="F20" s="6">
        <v>42.5</v>
      </c>
      <c r="G20" s="6">
        <v>6.8</v>
      </c>
      <c r="H20" s="8">
        <f>F20-$F$6</f>
        <v>36.072000000000003</v>
      </c>
      <c r="I20" s="8">
        <f>G20-$G$6</f>
        <v>-1.9020000000000001</v>
      </c>
      <c r="J20" s="11"/>
      <c r="K20" s="12" t="s">
        <v>16</v>
      </c>
      <c r="L20" s="20" t="s">
        <v>126</v>
      </c>
      <c r="M20" s="20" t="s">
        <v>126</v>
      </c>
      <c r="N20" s="6">
        <v>0.5</v>
      </c>
      <c r="O20" s="29">
        <v>3991100</v>
      </c>
      <c r="P20" s="37">
        <v>3969911</v>
      </c>
      <c r="Q20">
        <v>1</v>
      </c>
      <c r="T20" s="2"/>
      <c r="U20" s="2"/>
      <c r="V20" s="2"/>
      <c r="W20" s="2"/>
      <c r="X20" s="2"/>
      <c r="Y20" s="2"/>
      <c r="Z20" s="2"/>
    </row>
    <row r="21" spans="1:26" x14ac:dyDescent="0.3">
      <c r="A21" s="7" t="s">
        <v>45</v>
      </c>
      <c r="B21" s="7" t="s">
        <v>29</v>
      </c>
      <c r="C21" s="5" t="s">
        <v>28</v>
      </c>
      <c r="D21" s="5" t="s">
        <v>41</v>
      </c>
      <c r="E21" s="5" t="s">
        <v>43</v>
      </c>
      <c r="F21" s="6">
        <v>53.4</v>
      </c>
      <c r="G21" s="6">
        <v>3</v>
      </c>
      <c r="H21" s="8">
        <f>F21-$F$6</f>
        <v>46.972000000000001</v>
      </c>
      <c r="I21" s="8">
        <f>G21-$G$6</f>
        <v>-5.702</v>
      </c>
      <c r="J21" s="11" t="s">
        <v>16</v>
      </c>
      <c r="K21" s="12"/>
      <c r="L21" s="19"/>
      <c r="M21" s="19"/>
      <c r="N21" s="6">
        <v>0.5</v>
      </c>
      <c r="T21" s="4"/>
      <c r="U21" s="4"/>
      <c r="V21" s="2"/>
      <c r="W21" s="2"/>
      <c r="X21" s="2"/>
      <c r="Y21" s="2"/>
      <c r="Z21" s="2"/>
    </row>
    <row r="22" spans="1:26" x14ac:dyDescent="0.3">
      <c r="F22" s="6"/>
      <c r="G22" s="6"/>
      <c r="H22" s="8"/>
      <c r="I22" s="8"/>
      <c r="J22" s="11"/>
      <c r="K22" s="12"/>
      <c r="L22" s="19"/>
      <c r="M22" s="19"/>
      <c r="N22" s="6"/>
      <c r="T22" s="4"/>
      <c r="U22" s="4"/>
      <c r="V22" s="2"/>
      <c r="W22" s="2"/>
      <c r="X22" s="2"/>
      <c r="Y22" s="2"/>
      <c r="Z22" s="2"/>
    </row>
    <row r="23" spans="1:26" x14ac:dyDescent="0.3">
      <c r="A23" s="7" t="s">
        <v>30</v>
      </c>
      <c r="B23" s="7" t="s">
        <v>103</v>
      </c>
      <c r="C23" s="5" t="s">
        <v>31</v>
      </c>
      <c r="D23" s="5" t="s">
        <v>41</v>
      </c>
      <c r="E23" s="5" t="s">
        <v>43</v>
      </c>
      <c r="F23" s="6">
        <v>81.900000000000006</v>
      </c>
      <c r="G23" s="6">
        <v>11.7</v>
      </c>
      <c r="H23" s="8">
        <f>F23-$F$6</f>
        <v>75.472000000000008</v>
      </c>
      <c r="I23" s="8">
        <f>G23-$G$6</f>
        <v>2.9979999999999993</v>
      </c>
      <c r="J23" s="11"/>
      <c r="K23" s="12" t="s">
        <v>16</v>
      </c>
      <c r="L23" s="19"/>
      <c r="M23" s="19"/>
      <c r="N23" s="6">
        <v>0.5</v>
      </c>
      <c r="T23" s="4"/>
      <c r="U23" s="4"/>
      <c r="V23" s="2"/>
      <c r="W23" s="2"/>
      <c r="X23" s="2"/>
      <c r="Y23" s="2"/>
      <c r="Z23" s="2"/>
    </row>
    <row r="24" spans="1:26" x14ac:dyDescent="0.3">
      <c r="A24" s="7" t="s">
        <v>102</v>
      </c>
      <c r="B24" s="7" t="s">
        <v>97</v>
      </c>
      <c r="C24" s="5" t="s">
        <v>98</v>
      </c>
      <c r="D24" s="5" t="s">
        <v>41</v>
      </c>
      <c r="E24" s="5" t="s">
        <v>42</v>
      </c>
      <c r="F24" s="6">
        <v>49.7</v>
      </c>
      <c r="G24" s="6">
        <v>9.5</v>
      </c>
      <c r="H24" s="8">
        <f>F24-$F$6</f>
        <v>43.272000000000006</v>
      </c>
      <c r="I24" s="8">
        <f>G24-$G$6</f>
        <v>0.79800000000000004</v>
      </c>
      <c r="J24" s="11" t="s">
        <v>16</v>
      </c>
      <c r="K24" s="12"/>
      <c r="L24" s="19"/>
      <c r="M24" s="19"/>
      <c r="N24" s="6">
        <v>0.5</v>
      </c>
      <c r="O24" s="38">
        <v>3968865</v>
      </c>
      <c r="P24" s="38">
        <v>3969912</v>
      </c>
      <c r="Q24" s="39">
        <v>1</v>
      </c>
      <c r="T24" s="4"/>
      <c r="U24" s="4"/>
      <c r="V24" s="2"/>
      <c r="W24" s="2"/>
      <c r="X24" s="2"/>
      <c r="Y24" s="2"/>
      <c r="Z24" s="2"/>
    </row>
    <row r="25" spans="1:26" x14ac:dyDescent="0.3">
      <c r="H25" s="8"/>
      <c r="I25" s="8"/>
      <c r="J25" s="11"/>
      <c r="K25" s="12"/>
      <c r="L25" s="19"/>
      <c r="M25" s="19"/>
      <c r="N25" s="6"/>
      <c r="T25" s="2"/>
      <c r="U25" s="2"/>
      <c r="V25" s="2"/>
      <c r="W25" s="2"/>
      <c r="X25" s="2"/>
      <c r="Y25" s="2"/>
      <c r="Z25" s="2"/>
    </row>
    <row r="26" spans="1:26" x14ac:dyDescent="0.3">
      <c r="A26" s="5" t="s">
        <v>32</v>
      </c>
      <c r="B26" s="5" t="s">
        <v>8</v>
      </c>
      <c r="C26" s="5" t="s">
        <v>37</v>
      </c>
      <c r="D26" s="5" t="s">
        <v>41</v>
      </c>
      <c r="E26" s="5" t="s">
        <v>43</v>
      </c>
      <c r="F26" s="6">
        <v>90.6</v>
      </c>
      <c r="G26" s="6">
        <v>14.9</v>
      </c>
      <c r="H26" s="8">
        <f t="shared" ref="H26:H28" si="6">F26-$F$6</f>
        <v>84.171999999999997</v>
      </c>
      <c r="I26" s="8">
        <f t="shared" ref="I26:I28" si="7">G26-$G$6</f>
        <v>6.1980000000000004</v>
      </c>
      <c r="J26" s="11" t="s">
        <v>16</v>
      </c>
      <c r="K26" s="12"/>
      <c r="L26" s="19"/>
      <c r="M26" s="19"/>
      <c r="N26" s="6">
        <v>0.5</v>
      </c>
      <c r="O26" s="29">
        <v>3968963</v>
      </c>
      <c r="P26" s="29"/>
      <c r="T26" s="2"/>
      <c r="U26" s="2"/>
      <c r="V26" s="2"/>
      <c r="W26" s="2"/>
      <c r="X26" s="2"/>
      <c r="Y26" s="2"/>
      <c r="Z26" s="2"/>
    </row>
    <row r="27" spans="1:26" x14ac:dyDescent="0.3">
      <c r="A27" s="7" t="s">
        <v>33</v>
      </c>
      <c r="B27" s="7" t="s">
        <v>35</v>
      </c>
      <c r="C27" s="5" t="s">
        <v>37</v>
      </c>
      <c r="D27" s="5" t="s">
        <v>41</v>
      </c>
      <c r="E27" s="5" t="s">
        <v>42</v>
      </c>
      <c r="F27" s="6">
        <v>90.6</v>
      </c>
      <c r="G27" s="6">
        <v>15.8</v>
      </c>
      <c r="H27" s="8">
        <f t="shared" si="6"/>
        <v>84.171999999999997</v>
      </c>
      <c r="I27" s="8">
        <f t="shared" si="7"/>
        <v>7.0980000000000008</v>
      </c>
      <c r="J27" s="11" t="s">
        <v>16</v>
      </c>
      <c r="K27" s="12"/>
      <c r="L27" s="19"/>
      <c r="M27" s="19"/>
      <c r="N27" s="6">
        <v>0.5</v>
      </c>
      <c r="O27" s="29">
        <v>3991001</v>
      </c>
      <c r="P27" s="29"/>
    </row>
    <row r="28" spans="1:26" x14ac:dyDescent="0.3">
      <c r="A28" s="5" t="s">
        <v>34</v>
      </c>
      <c r="B28" s="5" t="s">
        <v>36</v>
      </c>
      <c r="C28" s="5" t="s">
        <v>37</v>
      </c>
      <c r="D28" s="7" t="s">
        <v>41</v>
      </c>
      <c r="E28" s="7" t="s">
        <v>43</v>
      </c>
      <c r="F28" s="6">
        <v>88.5</v>
      </c>
      <c r="G28" s="6">
        <v>10.8</v>
      </c>
      <c r="H28" s="8">
        <f t="shared" si="6"/>
        <v>82.072000000000003</v>
      </c>
      <c r="I28" s="8">
        <f t="shared" si="7"/>
        <v>2.0980000000000008</v>
      </c>
      <c r="J28" s="11" t="s">
        <v>16</v>
      </c>
      <c r="K28" s="12"/>
      <c r="L28" s="19"/>
      <c r="M28" s="19"/>
      <c r="N28" s="6">
        <v>0.5</v>
      </c>
    </row>
    <row r="29" spans="1:26" x14ac:dyDescent="0.3">
      <c r="H29" s="8"/>
      <c r="I29" s="8"/>
      <c r="J29" s="11"/>
      <c r="K29" s="12"/>
      <c r="L29" s="19"/>
      <c r="M29" s="19"/>
      <c r="N29" s="6"/>
    </row>
    <row r="30" spans="1:26" x14ac:dyDescent="0.3">
      <c r="A30" s="7" t="s">
        <v>14</v>
      </c>
      <c r="B30" s="7" t="s">
        <v>46</v>
      </c>
      <c r="C30" s="5" t="s">
        <v>49</v>
      </c>
      <c r="D30" s="5" t="s">
        <v>41</v>
      </c>
      <c r="E30" s="5" t="s">
        <v>43</v>
      </c>
      <c r="F30" s="6">
        <v>32.200000000000003</v>
      </c>
      <c r="G30" s="6">
        <v>17.2</v>
      </c>
      <c r="H30" s="8">
        <f t="shared" ref="H30:H41" si="8">F30-$F$6</f>
        <v>25.772000000000002</v>
      </c>
      <c r="I30" s="8">
        <f t="shared" ref="I30:I41" si="9">G30-$G$6</f>
        <v>8.4979999999999993</v>
      </c>
      <c r="J30" s="11"/>
      <c r="K30" s="12" t="s">
        <v>16</v>
      </c>
      <c r="L30" s="19"/>
      <c r="M30" s="19"/>
      <c r="N30" s="6">
        <v>0.5</v>
      </c>
    </row>
    <row r="31" spans="1:26" x14ac:dyDescent="0.3">
      <c r="A31" s="5" t="s">
        <v>9</v>
      </c>
      <c r="B31" s="5" t="s">
        <v>47</v>
      </c>
      <c r="C31" s="5" t="s">
        <v>49</v>
      </c>
      <c r="D31" s="5" t="s">
        <v>41</v>
      </c>
      <c r="E31" s="5" t="s">
        <v>42</v>
      </c>
      <c r="F31" s="6">
        <v>30.294</v>
      </c>
      <c r="G31" s="6">
        <v>13.554</v>
      </c>
      <c r="H31" s="8">
        <f t="shared" si="8"/>
        <v>23.866</v>
      </c>
      <c r="I31" s="8">
        <f t="shared" si="9"/>
        <v>4.8520000000000003</v>
      </c>
      <c r="J31" s="11"/>
      <c r="K31" s="12" t="s">
        <v>16</v>
      </c>
      <c r="L31" s="19"/>
      <c r="M31" s="19"/>
      <c r="N31" s="6">
        <v>0.5</v>
      </c>
    </row>
    <row r="32" spans="1:26" x14ac:dyDescent="0.3">
      <c r="A32" s="5" t="s">
        <v>57</v>
      </c>
      <c r="C32" s="5" t="s">
        <v>49</v>
      </c>
      <c r="D32" s="5" t="s">
        <v>41</v>
      </c>
      <c r="E32" s="5" t="s">
        <v>42</v>
      </c>
      <c r="F32" s="6">
        <v>60.9</v>
      </c>
      <c r="G32" s="6">
        <v>9.4</v>
      </c>
      <c r="H32" s="8">
        <f t="shared" si="8"/>
        <v>54.472000000000001</v>
      </c>
      <c r="I32" s="8">
        <f t="shared" si="9"/>
        <v>0.6980000000000004</v>
      </c>
      <c r="J32" s="11"/>
      <c r="K32" s="12" t="s">
        <v>16</v>
      </c>
      <c r="L32" s="19"/>
      <c r="M32" s="19"/>
      <c r="N32" s="6">
        <v>0.5</v>
      </c>
    </row>
    <row r="33" spans="1:19" x14ac:dyDescent="0.3">
      <c r="A33" s="5" t="s">
        <v>10</v>
      </c>
      <c r="B33" s="5" t="s">
        <v>48</v>
      </c>
      <c r="C33" s="5" t="s">
        <v>49</v>
      </c>
      <c r="D33" s="5" t="s">
        <v>41</v>
      </c>
      <c r="E33" s="5" t="s">
        <v>42</v>
      </c>
      <c r="F33" s="6">
        <v>58.1</v>
      </c>
      <c r="G33" s="6">
        <v>6.7</v>
      </c>
      <c r="H33" s="8">
        <f t="shared" si="8"/>
        <v>51.672000000000004</v>
      </c>
      <c r="I33" s="8">
        <f t="shared" si="9"/>
        <v>-2.0019999999999998</v>
      </c>
      <c r="J33" s="11"/>
      <c r="K33" s="12" t="s">
        <v>16</v>
      </c>
      <c r="L33" s="19"/>
      <c r="M33" s="19"/>
      <c r="N33" s="6">
        <v>0.5</v>
      </c>
    </row>
    <row r="34" spans="1:19" x14ac:dyDescent="0.3">
      <c r="A34" s="5" t="s">
        <v>11</v>
      </c>
      <c r="B34" s="5" t="s">
        <v>53</v>
      </c>
      <c r="C34" s="5" t="s">
        <v>49</v>
      </c>
      <c r="D34" s="5" t="s">
        <v>41</v>
      </c>
      <c r="E34" s="5" t="s">
        <v>42</v>
      </c>
      <c r="F34" s="6">
        <v>58.9</v>
      </c>
      <c r="G34" s="6">
        <v>7.1</v>
      </c>
      <c r="H34" s="8">
        <f t="shared" si="8"/>
        <v>52.472000000000001</v>
      </c>
      <c r="I34" s="8">
        <f t="shared" si="9"/>
        <v>-1.6020000000000003</v>
      </c>
      <c r="J34" s="11"/>
      <c r="K34" s="12" t="s">
        <v>16</v>
      </c>
      <c r="L34" s="19"/>
      <c r="M34" s="19"/>
      <c r="N34" s="6">
        <v>0.5</v>
      </c>
    </row>
    <row r="35" spans="1:19" x14ac:dyDescent="0.3">
      <c r="A35" s="5" t="s">
        <v>50</v>
      </c>
      <c r="B35" s="5" t="s">
        <v>54</v>
      </c>
      <c r="C35" s="5" t="s">
        <v>49</v>
      </c>
      <c r="D35" s="5" t="s">
        <v>41</v>
      </c>
      <c r="E35" s="5" t="s">
        <v>42</v>
      </c>
      <c r="F35" s="6">
        <v>54.768000000000001</v>
      </c>
      <c r="G35" s="6">
        <v>11.868</v>
      </c>
      <c r="H35" s="8">
        <f t="shared" si="8"/>
        <v>48.34</v>
      </c>
      <c r="I35" s="8">
        <f t="shared" si="9"/>
        <v>3.1660000000000004</v>
      </c>
      <c r="J35" s="11"/>
      <c r="K35" s="12" t="s">
        <v>16</v>
      </c>
      <c r="L35" s="19"/>
      <c r="M35" s="19"/>
      <c r="N35" s="6">
        <v>0.5</v>
      </c>
      <c r="O35" s="29">
        <v>3990999</v>
      </c>
      <c r="P35" s="29"/>
    </row>
    <row r="36" spans="1:19" x14ac:dyDescent="0.3">
      <c r="A36" s="5" t="s">
        <v>51</v>
      </c>
      <c r="B36" s="5" t="s">
        <v>55</v>
      </c>
      <c r="C36" s="5" t="s">
        <v>49</v>
      </c>
      <c r="D36" s="5" t="s">
        <v>41</v>
      </c>
      <c r="E36" s="5" t="s">
        <v>42</v>
      </c>
      <c r="F36" s="6">
        <v>53.4</v>
      </c>
      <c r="G36" s="6">
        <v>9</v>
      </c>
      <c r="H36" s="8">
        <f t="shared" si="8"/>
        <v>46.972000000000001</v>
      </c>
      <c r="I36" s="8">
        <f t="shared" si="9"/>
        <v>0.29800000000000004</v>
      </c>
      <c r="J36" s="11"/>
      <c r="K36" s="12" t="s">
        <v>16</v>
      </c>
      <c r="L36" s="19"/>
      <c r="M36" s="19"/>
      <c r="N36" s="6">
        <v>0.5</v>
      </c>
      <c r="O36" s="29">
        <v>3990992</v>
      </c>
      <c r="P36" s="29"/>
    </row>
    <row r="37" spans="1:19" x14ac:dyDescent="0.3">
      <c r="A37" s="5" t="s">
        <v>52</v>
      </c>
      <c r="B37" s="5" t="s">
        <v>56</v>
      </c>
      <c r="C37" s="5" t="s">
        <v>49</v>
      </c>
      <c r="D37" s="5" t="s">
        <v>44</v>
      </c>
      <c r="E37" s="5" t="s">
        <v>43</v>
      </c>
      <c r="F37" s="6">
        <v>59.027000000000001</v>
      </c>
      <c r="G37" s="6">
        <v>9.0549999999999997</v>
      </c>
      <c r="H37" s="8">
        <f t="shared" si="8"/>
        <v>52.599000000000004</v>
      </c>
      <c r="I37" s="8">
        <f t="shared" si="9"/>
        <v>0.35299999999999976</v>
      </c>
      <c r="J37" s="11"/>
      <c r="K37" s="12" t="s">
        <v>16</v>
      </c>
      <c r="L37" s="55" t="s">
        <v>131</v>
      </c>
      <c r="M37" s="56"/>
      <c r="N37" s="6">
        <v>0.5</v>
      </c>
      <c r="O37" s="29">
        <v>3990523</v>
      </c>
      <c r="P37" s="29"/>
      <c r="R37" t="s">
        <v>120</v>
      </c>
      <c r="S37" t="s">
        <v>121</v>
      </c>
    </row>
    <row r="38" spans="1:19" x14ac:dyDescent="0.3">
      <c r="A38" s="7" t="s">
        <v>58</v>
      </c>
      <c r="B38" s="7" t="s">
        <v>60</v>
      </c>
      <c r="C38" s="5" t="s">
        <v>49</v>
      </c>
      <c r="D38" s="5" t="s">
        <v>41</v>
      </c>
      <c r="E38" s="5" t="s">
        <v>43</v>
      </c>
      <c r="F38" s="6">
        <v>62</v>
      </c>
      <c r="G38" s="6">
        <v>13</v>
      </c>
      <c r="H38" s="8">
        <f t="shared" si="8"/>
        <v>55.572000000000003</v>
      </c>
      <c r="I38" s="8">
        <f t="shared" si="9"/>
        <v>4.298</v>
      </c>
      <c r="J38" s="11"/>
      <c r="K38" s="12" t="s">
        <v>16</v>
      </c>
      <c r="L38" s="19"/>
      <c r="M38" s="19"/>
      <c r="N38" s="6">
        <v>0.5</v>
      </c>
      <c r="O38" s="29">
        <v>4003697</v>
      </c>
      <c r="P38" s="29"/>
    </row>
    <row r="39" spans="1:19" x14ac:dyDescent="0.3">
      <c r="A39" s="7" t="s">
        <v>59</v>
      </c>
      <c r="B39" s="7" t="s">
        <v>61</v>
      </c>
      <c r="C39" s="5" t="s">
        <v>49</v>
      </c>
      <c r="D39" s="5" t="s">
        <v>41</v>
      </c>
      <c r="E39" s="5" t="s">
        <v>43</v>
      </c>
      <c r="F39" s="6">
        <v>61.774999999999999</v>
      </c>
      <c r="G39" s="6">
        <v>13.974</v>
      </c>
      <c r="H39" s="8">
        <f t="shared" si="8"/>
        <v>55.347000000000001</v>
      </c>
      <c r="I39" s="8">
        <f t="shared" si="9"/>
        <v>5.2720000000000002</v>
      </c>
      <c r="J39" s="11"/>
      <c r="K39" s="12" t="s">
        <v>16</v>
      </c>
      <c r="L39" s="19"/>
      <c r="M39" s="19"/>
      <c r="N39" s="6">
        <v>0.5</v>
      </c>
      <c r="O39" s="29">
        <v>4003698</v>
      </c>
      <c r="P39" s="29"/>
    </row>
    <row r="40" spans="1:19" x14ac:dyDescent="0.3">
      <c r="A40" s="7" t="s">
        <v>104</v>
      </c>
      <c r="B40" s="7" t="s">
        <v>106</v>
      </c>
      <c r="C40" s="5" t="s">
        <v>108</v>
      </c>
      <c r="D40" s="5" t="s">
        <v>41</v>
      </c>
      <c r="E40" s="5" t="s">
        <v>42</v>
      </c>
      <c r="F40" s="6">
        <v>65.400000000000006</v>
      </c>
      <c r="G40" s="6">
        <v>13.8</v>
      </c>
      <c r="H40" s="8">
        <f t="shared" si="8"/>
        <v>58.972000000000008</v>
      </c>
      <c r="I40" s="8">
        <f t="shared" si="9"/>
        <v>5.0980000000000008</v>
      </c>
      <c r="J40" s="11"/>
      <c r="K40" s="12" t="s">
        <v>16</v>
      </c>
      <c r="L40" s="20">
        <f>71.025-$F$6</f>
        <v>64.597000000000008</v>
      </c>
      <c r="M40" s="20">
        <f>13.55-$G$6</f>
        <v>4.8480000000000008</v>
      </c>
      <c r="N40" s="6">
        <v>0.5</v>
      </c>
      <c r="Q40">
        <v>1</v>
      </c>
    </row>
    <row r="41" spans="1:19" x14ac:dyDescent="0.3">
      <c r="A41" s="7" t="s">
        <v>105</v>
      </c>
      <c r="B41" s="7" t="s">
        <v>107</v>
      </c>
      <c r="C41" s="5" t="s">
        <v>108</v>
      </c>
      <c r="D41" s="5" t="s">
        <v>44</v>
      </c>
      <c r="E41" s="5" t="s">
        <v>43</v>
      </c>
      <c r="F41" s="6">
        <v>65.2</v>
      </c>
      <c r="G41" s="6">
        <v>14.8</v>
      </c>
      <c r="H41" s="8">
        <f t="shared" si="8"/>
        <v>58.772000000000006</v>
      </c>
      <c r="I41" s="8">
        <f t="shared" si="9"/>
        <v>6.0980000000000008</v>
      </c>
      <c r="J41" s="11"/>
      <c r="K41" s="12" t="s">
        <v>16</v>
      </c>
      <c r="L41" s="20" t="s">
        <v>126</v>
      </c>
      <c r="M41" s="20" t="s">
        <v>126</v>
      </c>
      <c r="N41" s="6">
        <v>0.5</v>
      </c>
      <c r="Q41">
        <v>1</v>
      </c>
    </row>
    <row r="42" spans="1:19" x14ac:dyDescent="0.3">
      <c r="H42" s="8"/>
      <c r="I42" s="8"/>
      <c r="J42" s="11"/>
      <c r="K42" s="12"/>
      <c r="L42" s="19"/>
      <c r="M42" s="19"/>
      <c r="N42" s="6"/>
    </row>
    <row r="43" spans="1:19" x14ac:dyDescent="0.3">
      <c r="A43" s="7" t="s">
        <v>62</v>
      </c>
      <c r="B43" s="7" t="s">
        <v>63</v>
      </c>
      <c r="C43" s="5" t="s">
        <v>64</v>
      </c>
      <c r="D43" s="18" t="s">
        <v>44</v>
      </c>
      <c r="E43" s="18" t="s">
        <v>43</v>
      </c>
      <c r="F43" s="6">
        <v>83.5</v>
      </c>
      <c r="G43" s="6">
        <v>23.4</v>
      </c>
      <c r="H43" s="8">
        <f t="shared" ref="H43:H51" si="10">F43-$F$6</f>
        <v>77.072000000000003</v>
      </c>
      <c r="I43" s="8">
        <f t="shared" ref="I43:I51" si="11">G43-$G$6</f>
        <v>14.697999999999999</v>
      </c>
      <c r="J43" s="11" t="s">
        <v>16</v>
      </c>
      <c r="K43" s="12"/>
      <c r="L43" s="19"/>
      <c r="M43" s="19"/>
      <c r="N43" s="6">
        <v>0.5</v>
      </c>
      <c r="Q43">
        <v>1</v>
      </c>
    </row>
    <row r="44" spans="1:19" s="25" customFormat="1" x14ac:dyDescent="0.3">
      <c r="A44" s="21" t="s">
        <v>129</v>
      </c>
      <c r="B44" s="21" t="s">
        <v>130</v>
      </c>
      <c r="C44" s="5" t="s">
        <v>64</v>
      </c>
      <c r="D44" s="22"/>
      <c r="E44" s="22"/>
      <c r="F44" s="23"/>
      <c r="G44" s="23"/>
      <c r="H44" s="24"/>
      <c r="I44" s="24"/>
      <c r="J44" s="23"/>
      <c r="K44" s="23"/>
      <c r="L44" s="23"/>
      <c r="M44" s="23"/>
      <c r="N44" s="23"/>
      <c r="O44" s="29">
        <v>3990979</v>
      </c>
      <c r="P44" s="29"/>
    </row>
    <row r="45" spans="1:19" s="25" customFormat="1" x14ac:dyDescent="0.3">
      <c r="A45" s="21" t="s">
        <v>65</v>
      </c>
      <c r="B45" s="21" t="s">
        <v>66</v>
      </c>
      <c r="C45" s="21" t="s">
        <v>64</v>
      </c>
      <c r="D45" s="22" t="s">
        <v>41</v>
      </c>
      <c r="E45" s="21" t="s">
        <v>42</v>
      </c>
      <c r="F45" s="23">
        <v>85.5</v>
      </c>
      <c r="G45" s="23">
        <v>23.4</v>
      </c>
      <c r="H45" s="24">
        <f t="shared" si="10"/>
        <v>79.072000000000003</v>
      </c>
      <c r="I45" s="24">
        <f t="shared" si="11"/>
        <v>14.697999999999999</v>
      </c>
      <c r="J45" s="23" t="s">
        <v>16</v>
      </c>
      <c r="K45" s="23"/>
      <c r="L45" s="23"/>
      <c r="M45" s="23"/>
      <c r="N45" s="23">
        <v>0.5</v>
      </c>
      <c r="O45" s="29">
        <v>3991021</v>
      </c>
      <c r="P45" s="29"/>
      <c r="Q45" s="25">
        <v>1</v>
      </c>
    </row>
    <row r="46" spans="1:19" x14ac:dyDescent="0.3">
      <c r="A46" s="5" t="s">
        <v>67</v>
      </c>
      <c r="B46" s="5" t="s">
        <v>68</v>
      </c>
      <c r="C46" s="5" t="s">
        <v>69</v>
      </c>
      <c r="D46" s="5" t="s">
        <v>41</v>
      </c>
      <c r="E46" s="5" t="s">
        <v>42</v>
      </c>
      <c r="F46" s="6">
        <v>37</v>
      </c>
      <c r="G46" s="6">
        <v>15</v>
      </c>
      <c r="H46" s="8">
        <f t="shared" si="10"/>
        <v>30.571999999999999</v>
      </c>
      <c r="I46" s="8">
        <f t="shared" si="11"/>
        <v>6.298</v>
      </c>
      <c r="J46" s="11" t="s">
        <v>16</v>
      </c>
      <c r="K46" s="12"/>
      <c r="L46" s="19"/>
      <c r="M46" s="19"/>
      <c r="N46" s="6">
        <v>0.5</v>
      </c>
      <c r="O46" s="28"/>
      <c r="P46" s="28"/>
      <c r="R46" t="s">
        <v>124</v>
      </c>
      <c r="S46" t="s">
        <v>125</v>
      </c>
    </row>
    <row r="47" spans="1:19" x14ac:dyDescent="0.3">
      <c r="A47" s="5" t="s">
        <v>70</v>
      </c>
      <c r="B47" s="5" t="s">
        <v>71</v>
      </c>
      <c r="C47" s="5" t="s">
        <v>69</v>
      </c>
      <c r="D47" s="5" t="s">
        <v>44</v>
      </c>
      <c r="E47" s="5" t="s">
        <v>43</v>
      </c>
      <c r="F47" s="6">
        <v>81.599999999999994</v>
      </c>
      <c r="G47" s="6">
        <v>26.1</v>
      </c>
      <c r="H47" s="8">
        <f t="shared" si="10"/>
        <v>75.171999999999997</v>
      </c>
      <c r="I47" s="8">
        <f t="shared" si="11"/>
        <v>17.398000000000003</v>
      </c>
      <c r="J47" s="11"/>
      <c r="K47" s="12" t="s">
        <v>16</v>
      </c>
      <c r="L47" s="19"/>
      <c r="M47" s="19"/>
      <c r="N47" s="6">
        <v>0.5</v>
      </c>
      <c r="O47" s="29">
        <v>3968959</v>
      </c>
      <c r="P47" s="29"/>
    </row>
    <row r="48" spans="1:19" x14ac:dyDescent="0.3">
      <c r="A48" s="5" t="s">
        <v>72</v>
      </c>
      <c r="B48" s="7" t="s">
        <v>73</v>
      </c>
      <c r="C48" s="5" t="s">
        <v>69</v>
      </c>
      <c r="D48" s="5" t="s">
        <v>41</v>
      </c>
      <c r="E48" s="5" t="s">
        <v>42</v>
      </c>
      <c r="F48" s="6">
        <v>23.4</v>
      </c>
      <c r="G48" s="6">
        <v>13.7</v>
      </c>
      <c r="H48" s="8">
        <f t="shared" si="10"/>
        <v>16.971999999999998</v>
      </c>
      <c r="I48" s="8">
        <f t="shared" si="11"/>
        <v>4.9979999999999993</v>
      </c>
      <c r="J48" s="11" t="s">
        <v>16</v>
      </c>
      <c r="K48" s="12"/>
      <c r="L48" s="19"/>
      <c r="M48" s="19"/>
      <c r="N48" s="6">
        <v>0.5</v>
      </c>
      <c r="O48" s="29">
        <v>3968960</v>
      </c>
      <c r="P48" s="29"/>
    </row>
    <row r="49" spans="1:17" x14ac:dyDescent="0.3">
      <c r="A49" s="5" t="s">
        <v>74</v>
      </c>
      <c r="B49" s="5" t="s">
        <v>75</v>
      </c>
      <c r="C49" s="5" t="s">
        <v>69</v>
      </c>
      <c r="D49" s="5" t="s">
        <v>4</v>
      </c>
      <c r="F49" s="6">
        <v>19.2</v>
      </c>
      <c r="G49" s="6">
        <v>10</v>
      </c>
      <c r="H49" s="8">
        <f t="shared" si="10"/>
        <v>12.771999999999998</v>
      </c>
      <c r="I49" s="8">
        <f t="shared" si="11"/>
        <v>1.298</v>
      </c>
      <c r="J49" s="11" t="s">
        <v>16</v>
      </c>
      <c r="K49" s="12"/>
      <c r="L49" s="19"/>
      <c r="M49" s="19"/>
      <c r="N49" s="6">
        <v>0.5</v>
      </c>
    </row>
    <row r="50" spans="1:17" x14ac:dyDescent="0.3">
      <c r="A50" s="5" t="s">
        <v>76</v>
      </c>
      <c r="B50" s="5" t="s">
        <v>77</v>
      </c>
      <c r="C50" s="5" t="s">
        <v>78</v>
      </c>
      <c r="D50" s="5" t="s">
        <v>44</v>
      </c>
      <c r="E50" s="5" t="s">
        <v>43</v>
      </c>
      <c r="F50" s="6">
        <v>51.1</v>
      </c>
      <c r="G50" s="6">
        <v>5</v>
      </c>
      <c r="H50" s="8">
        <f t="shared" si="10"/>
        <v>44.672000000000004</v>
      </c>
      <c r="I50" s="8">
        <f t="shared" si="11"/>
        <v>-3.702</v>
      </c>
      <c r="J50" s="11"/>
      <c r="K50" s="12" t="s">
        <v>16</v>
      </c>
      <c r="L50" s="19"/>
      <c r="M50" s="19"/>
      <c r="N50" s="6">
        <v>0.5</v>
      </c>
    </row>
    <row r="51" spans="1:17" x14ac:dyDescent="0.3">
      <c r="A51" s="7" t="s">
        <v>79</v>
      </c>
      <c r="B51" s="7" t="s">
        <v>80</v>
      </c>
      <c r="C51" s="5" t="s">
        <v>78</v>
      </c>
      <c r="D51" s="5" t="s">
        <v>41</v>
      </c>
      <c r="E51" s="5" t="s">
        <v>42</v>
      </c>
      <c r="F51" s="6">
        <v>49.4</v>
      </c>
      <c r="G51" s="6">
        <v>8.3000000000000007</v>
      </c>
      <c r="H51" s="8">
        <f t="shared" si="10"/>
        <v>42.972000000000001</v>
      </c>
      <c r="I51" s="8">
        <f t="shared" si="11"/>
        <v>-0.40199999999999925</v>
      </c>
      <c r="J51" s="11"/>
      <c r="K51" s="12" t="s">
        <v>16</v>
      </c>
      <c r="L51" s="20">
        <f>48.725-$F$6</f>
        <v>42.297000000000004</v>
      </c>
      <c r="M51" s="20">
        <f>9.275-$G$6</f>
        <v>0.5730000000000004</v>
      </c>
      <c r="N51" s="6">
        <v>0.5</v>
      </c>
      <c r="Q51">
        <v>1</v>
      </c>
    </row>
    <row r="52" spans="1:17" x14ac:dyDescent="0.3">
      <c r="H52" s="8"/>
      <c r="I52" s="8"/>
      <c r="J52" s="11"/>
      <c r="K52" s="12"/>
      <c r="L52" s="19"/>
      <c r="M52" s="19"/>
      <c r="N52" s="6"/>
    </row>
    <row r="53" spans="1:17" x14ac:dyDescent="0.3">
      <c r="A53" s="7" t="s">
        <v>81</v>
      </c>
      <c r="B53" s="7" t="s">
        <v>15</v>
      </c>
      <c r="C53" s="5" t="s">
        <v>82</v>
      </c>
      <c r="D53" s="5" t="s">
        <v>41</v>
      </c>
      <c r="E53" s="5" t="s">
        <v>43</v>
      </c>
      <c r="F53" s="6">
        <v>68.2</v>
      </c>
      <c r="G53" s="6">
        <v>4</v>
      </c>
      <c r="H53" s="8">
        <f t="shared" ref="H53:H59" si="12">F53-$F$6</f>
        <v>61.772000000000006</v>
      </c>
      <c r="I53" s="8">
        <f t="shared" ref="I53:I59" si="13">G53-$G$6</f>
        <v>-4.702</v>
      </c>
      <c r="J53" s="11" t="s">
        <v>16</v>
      </c>
      <c r="K53" s="12"/>
      <c r="L53" s="19"/>
      <c r="M53" s="19"/>
      <c r="N53" s="6">
        <v>0.5</v>
      </c>
      <c r="O53" s="29">
        <v>3991103</v>
      </c>
      <c r="P53" s="29"/>
    </row>
    <row r="54" spans="1:17" x14ac:dyDescent="0.3">
      <c r="A54" s="5" t="s">
        <v>83</v>
      </c>
      <c r="B54" s="5" t="s">
        <v>89</v>
      </c>
      <c r="C54" s="5" t="s">
        <v>82</v>
      </c>
      <c r="D54" s="5" t="s">
        <v>95</v>
      </c>
      <c r="E54" s="5" t="s">
        <v>42</v>
      </c>
      <c r="F54" s="6">
        <v>75</v>
      </c>
      <c r="G54" s="6">
        <v>13.4</v>
      </c>
      <c r="H54" s="8">
        <f t="shared" si="12"/>
        <v>68.572000000000003</v>
      </c>
      <c r="I54" s="8">
        <f t="shared" si="13"/>
        <v>4.6980000000000004</v>
      </c>
      <c r="J54" s="11" t="s">
        <v>16</v>
      </c>
      <c r="K54" s="12"/>
      <c r="L54" s="19"/>
      <c r="M54" s="19"/>
      <c r="N54" s="6">
        <v>0.5</v>
      </c>
      <c r="O54" s="28"/>
      <c r="P54" s="28"/>
      <c r="Q54">
        <v>1</v>
      </c>
    </row>
    <row r="55" spans="1:17" x14ac:dyDescent="0.3">
      <c r="A55" s="5" t="s">
        <v>84</v>
      </c>
      <c r="B55" s="5" t="s">
        <v>90</v>
      </c>
      <c r="C55" s="5" t="s">
        <v>82</v>
      </c>
      <c r="D55" s="5" t="s">
        <v>119</v>
      </c>
      <c r="E55" s="5" t="s">
        <v>116</v>
      </c>
      <c r="F55" s="6">
        <v>78.900000000000006</v>
      </c>
      <c r="G55" s="6">
        <v>13.4</v>
      </c>
      <c r="H55" s="8">
        <f t="shared" si="12"/>
        <v>72.472000000000008</v>
      </c>
      <c r="I55" s="8">
        <f t="shared" si="13"/>
        <v>4.6980000000000004</v>
      </c>
      <c r="J55" s="11" t="s">
        <v>16</v>
      </c>
      <c r="K55" s="12"/>
      <c r="L55" s="19"/>
      <c r="M55" s="19"/>
      <c r="N55" s="6">
        <v>0.5</v>
      </c>
      <c r="O55" s="28"/>
      <c r="P55" s="28"/>
      <c r="Q55">
        <v>1</v>
      </c>
    </row>
    <row r="56" spans="1:17" x14ac:dyDescent="0.3">
      <c r="A56" s="5" t="s">
        <v>85</v>
      </c>
      <c r="B56" s="5" t="s">
        <v>91</v>
      </c>
      <c r="C56" s="5" t="s">
        <v>82</v>
      </c>
      <c r="D56" s="5" t="s">
        <v>119</v>
      </c>
      <c r="E56" s="5" t="s">
        <v>116</v>
      </c>
      <c r="F56" s="6">
        <v>76</v>
      </c>
      <c r="G56" s="6">
        <v>13.4</v>
      </c>
      <c r="H56" s="8">
        <f t="shared" si="12"/>
        <v>69.572000000000003</v>
      </c>
      <c r="I56" s="8">
        <f t="shared" si="13"/>
        <v>4.6980000000000004</v>
      </c>
      <c r="J56" s="11" t="s">
        <v>16</v>
      </c>
      <c r="K56" s="12"/>
      <c r="L56" s="20">
        <f>76-$F$6</f>
        <v>69.572000000000003</v>
      </c>
      <c r="M56" s="20">
        <f>12.7-$G$6</f>
        <v>3.9979999999999993</v>
      </c>
      <c r="N56" s="6">
        <v>0.5</v>
      </c>
      <c r="O56" s="28"/>
      <c r="P56" s="28"/>
      <c r="Q56">
        <v>1</v>
      </c>
    </row>
    <row r="57" spans="1:17" x14ac:dyDescent="0.3">
      <c r="A57" s="5" t="s">
        <v>86</v>
      </c>
      <c r="B57" s="5" t="s">
        <v>92</v>
      </c>
      <c r="C57" s="5" t="s">
        <v>82</v>
      </c>
      <c r="D57" s="5" t="s">
        <v>41</v>
      </c>
      <c r="E57" s="5" t="s">
        <v>42</v>
      </c>
      <c r="F57" s="6">
        <v>77</v>
      </c>
      <c r="G57" s="6">
        <v>13.4</v>
      </c>
      <c r="H57" s="8">
        <f t="shared" si="12"/>
        <v>70.572000000000003</v>
      </c>
      <c r="I57" s="8">
        <f t="shared" si="13"/>
        <v>4.6980000000000004</v>
      </c>
      <c r="J57" s="11" t="s">
        <v>16</v>
      </c>
      <c r="K57" s="12"/>
      <c r="L57" s="19"/>
      <c r="M57" s="19"/>
      <c r="N57" s="6">
        <v>0.5</v>
      </c>
      <c r="O57" s="28"/>
      <c r="P57" s="28"/>
      <c r="Q57">
        <v>1</v>
      </c>
    </row>
    <row r="58" spans="1:17" x14ac:dyDescent="0.3">
      <c r="A58" s="5" t="s">
        <v>87</v>
      </c>
      <c r="B58" s="5" t="s">
        <v>93</v>
      </c>
      <c r="C58" s="5" t="s">
        <v>82</v>
      </c>
      <c r="D58" s="5" t="s">
        <v>41</v>
      </c>
      <c r="E58" s="5" t="s">
        <v>42</v>
      </c>
      <c r="F58" s="6">
        <v>78</v>
      </c>
      <c r="G58" s="6">
        <v>13.4</v>
      </c>
      <c r="H58" s="8">
        <f t="shared" si="12"/>
        <v>71.572000000000003</v>
      </c>
      <c r="I58" s="8">
        <f t="shared" si="13"/>
        <v>4.6980000000000004</v>
      </c>
      <c r="J58" s="11" t="s">
        <v>16</v>
      </c>
      <c r="K58" s="12"/>
      <c r="L58" s="20">
        <f>81.05-$F$6</f>
        <v>74.622</v>
      </c>
      <c r="M58" s="20">
        <f>16.85-$G$6</f>
        <v>8.1480000000000015</v>
      </c>
      <c r="N58" s="6">
        <v>0.5</v>
      </c>
      <c r="O58" s="28"/>
      <c r="P58" s="28"/>
      <c r="Q58">
        <v>1</v>
      </c>
    </row>
    <row r="59" spans="1:17" x14ac:dyDescent="0.3">
      <c r="A59" s="7" t="s">
        <v>88</v>
      </c>
      <c r="B59" s="7" t="s">
        <v>94</v>
      </c>
      <c r="C59" s="5" t="s">
        <v>82</v>
      </c>
      <c r="D59" s="5" t="s">
        <v>41</v>
      </c>
      <c r="E59" s="5" t="s">
        <v>42</v>
      </c>
      <c r="F59" s="6">
        <v>73.2</v>
      </c>
      <c r="G59" s="6">
        <v>8.4</v>
      </c>
      <c r="H59" s="8">
        <f t="shared" si="12"/>
        <v>66.772000000000006</v>
      </c>
      <c r="I59" s="8">
        <f t="shared" si="13"/>
        <v>-0.3019999999999996</v>
      </c>
      <c r="J59" s="11" t="s">
        <v>16</v>
      </c>
      <c r="K59" s="12"/>
      <c r="L59" s="19"/>
      <c r="M59" s="19"/>
      <c r="N59" s="6">
        <v>0.5</v>
      </c>
      <c r="O59" s="29">
        <v>3991103</v>
      </c>
      <c r="P59" s="37">
        <v>3971215</v>
      </c>
      <c r="Q59">
        <v>1</v>
      </c>
    </row>
  </sheetData>
  <sortState xmlns:xlrd2="http://schemas.microsoft.com/office/spreadsheetml/2017/richdata2" ref="A8:X23">
    <sortCondition ref="A9"/>
  </sortState>
  <mergeCells count="1">
    <mergeCell ref="L37:M37"/>
  </mergeCells>
  <phoneticPr fontId="3" type="noConversion"/>
  <dataValidations count="1">
    <dataValidation type="whole" allowBlank="1" showErrorMessage="1" sqref="O47:P48 O26:P27 O44:P45 O53:P53 O59:P59 O14:P14 O18:P20 O35:P39" xr:uid="{00000000-0002-0000-0100-000000000000}">
      <formula1>-2147483648</formula1>
      <formula2>2147483647</formula2>
    </dataValidation>
  </dataValidations>
  <hyperlinks>
    <hyperlink ref="O18" r:id="rId1" display="https://codebeamer.ev.minebea.local/cb/item/3683739" xr:uid="{00000000-0004-0000-0100-000000000000}"/>
    <hyperlink ref="O26" r:id="rId2" display="https://codebeamer.ev.minebea.local/cb/item/3968963" xr:uid="{00000000-0004-0000-0100-000001000000}"/>
    <hyperlink ref="O44" r:id="rId3" display="https://codebeamer.ev.minebea.local/cb/item/3990979" xr:uid="{00000000-0004-0000-0100-000002000000}"/>
    <hyperlink ref="O36" r:id="rId4" display="https://codebeamer.ev.minebea.local/cb/item/3990992" xr:uid="{00000000-0004-0000-0100-000003000000}"/>
    <hyperlink ref="O35" r:id="rId5" display="https://codebeamer.ev.minebea.local/cb/item/3990999" xr:uid="{00000000-0004-0000-0100-000004000000}"/>
    <hyperlink ref="O27" r:id="rId6" display="https://codebeamer.ev.minebea.local/cb/item/3991001" xr:uid="{00000000-0004-0000-0100-000005000000}"/>
    <hyperlink ref="O45" r:id="rId7" display="https://codebeamer.ev.minebea.local/cb/item/3991021" xr:uid="{00000000-0004-0000-0100-000006000000}"/>
    <hyperlink ref="O20" r:id="rId8" display="https://codebeamer.ev.minebea.local/cb/item/3991100" xr:uid="{00000000-0004-0000-0100-000007000000}"/>
    <hyperlink ref="O53" r:id="rId9" display="https://codebeamer.ev.minebea.local/cb/item/3991103" xr:uid="{00000000-0004-0000-0100-000008000000}"/>
    <hyperlink ref="O59" r:id="rId10" display="https://codebeamer.ev.minebea.local/cb/item/3991103" xr:uid="{00000000-0004-0000-0100-000009000000}"/>
    <hyperlink ref="O14" r:id="rId11" display="https://codebeamer.ev.minebea.local/cb/item/3968960" xr:uid="{00000000-0004-0000-0100-00000A000000}"/>
    <hyperlink ref="O47" r:id="rId12" display="https://codebeamer.ev.minebea.local/cb/item/3968959" xr:uid="{00000000-0004-0000-0100-00000B000000}"/>
    <hyperlink ref="O48" r:id="rId13" display="https://codebeamer.ev.minebea.local/cb/item/3968960" xr:uid="{00000000-0004-0000-0100-00000C000000}"/>
    <hyperlink ref="O19" r:id="rId14" display="https://codebeamer.ev.minebea.local/cb/item/3684336" xr:uid="{00000000-0004-0000-0100-00000D000000}"/>
    <hyperlink ref="O37" r:id="rId15" display="https://codebeamer.ev.minebea.local/cb/item/3990523" xr:uid="{00000000-0004-0000-0100-00000E000000}"/>
    <hyperlink ref="O39" r:id="rId16" display="https://codebeamer.ev.minebea.local/cb/item/4003698" xr:uid="{00000000-0004-0000-0100-00000F000000}"/>
    <hyperlink ref="O38" r:id="rId17" display="https://codebeamer.ev.minebea.local/cb/item/4003697" xr:uid="{00000000-0004-0000-0100-000010000000}"/>
    <hyperlink ref="P20" r:id="rId18" display="3969911" xr:uid="{00000000-0004-0000-0100-000011000000}"/>
    <hyperlink ref="O24" r:id="rId19" display="3968865" xr:uid="{00000000-0004-0000-0100-000012000000}"/>
    <hyperlink ref="P24" r:id="rId20" display=" 3969912" xr:uid="{00000000-0004-0000-0100-000013000000}"/>
    <hyperlink ref="P59" r:id="rId21" display="3971215" xr:uid="{00000000-0004-0000-0100-000014000000}"/>
  </hyperlinks>
  <pageMargins left="0.7" right="0.7" top="0.75" bottom="0.75" header="0.3" footer="0.3"/>
  <pageSetup orientation="portrait" r:id="rId22"/>
  <drawing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TPs_Final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2026-04-02T20:20:00Z</dcterms:modified>
</cp:coreProperties>
</file>